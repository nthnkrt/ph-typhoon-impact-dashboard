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masulit/Desktop/"/>
    </mc:Choice>
  </mc:AlternateContent>
  <xr:revisionPtr revIDLastSave="0" documentId="13_ncr:1_{BC6819B8-61E9-6D4C-A1B9-473B50AAFE53}" xr6:coauthVersionLast="47" xr6:coauthVersionMax="47" xr10:uidLastSave="{00000000-0000-0000-0000-000000000000}"/>
  <bookViews>
    <workbookView xWindow="0" yWindow="0" windowWidth="28800" windowHeight="18000" activeTab="2" xr2:uid="{0AEB5F8F-3C72-C84B-B069-2EB98A233D17}"/>
  </bookViews>
  <sheets>
    <sheet name="Consolidated Ranking" sheetId="3" r:id="rId1"/>
    <sheet name="Amounts" sheetId="1" r:id="rId2"/>
    <sheet name="Ranking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1" i="2" l="1"/>
  <c r="E228" i="2"/>
  <c r="E227" i="2"/>
  <c r="E225" i="2"/>
  <c r="E230" i="2"/>
  <c r="E221" i="2"/>
  <c r="E220" i="2"/>
  <c r="E222" i="2"/>
  <c r="E223" i="2"/>
  <c r="E229" i="2"/>
  <c r="E216" i="2"/>
  <c r="E217" i="2"/>
  <c r="E224" i="2"/>
  <c r="E219" i="2"/>
  <c r="E226" i="2"/>
  <c r="E218" i="2"/>
  <c r="E213" i="2"/>
  <c r="E211" i="2"/>
  <c r="E209" i="2"/>
  <c r="E207" i="2"/>
  <c r="E208" i="2"/>
  <c r="E204" i="2"/>
  <c r="E202" i="2"/>
  <c r="E205" i="2"/>
  <c r="E201" i="2"/>
  <c r="E210" i="2"/>
  <c r="E199" i="2"/>
  <c r="E198" i="2"/>
  <c r="E206" i="2"/>
  <c r="E203" i="2"/>
  <c r="E212" i="2"/>
  <c r="E200" i="2"/>
  <c r="E194" i="2"/>
  <c r="E192" i="2"/>
  <c r="E189" i="2"/>
  <c r="E187" i="2"/>
  <c r="E193" i="2"/>
  <c r="E183" i="2"/>
  <c r="E184" i="2"/>
  <c r="E185" i="2"/>
  <c r="E180" i="2"/>
  <c r="E191" i="2"/>
  <c r="E179" i="2"/>
  <c r="E181" i="2"/>
  <c r="E186" i="2"/>
  <c r="E190" i="2"/>
  <c r="E188" i="2"/>
  <c r="E182" i="2"/>
  <c r="E176" i="2"/>
  <c r="E174" i="2"/>
  <c r="E166" i="2"/>
  <c r="E172" i="2"/>
  <c r="E175" i="2"/>
  <c r="E169" i="2"/>
  <c r="E167" i="2"/>
  <c r="E165" i="2"/>
  <c r="E164" i="2"/>
  <c r="E168" i="2"/>
  <c r="E161" i="2"/>
  <c r="E163" i="2"/>
  <c r="E170" i="2"/>
  <c r="E171" i="2"/>
  <c r="E173" i="2"/>
  <c r="E162" i="2"/>
  <c r="E158" i="2"/>
  <c r="E157" i="2"/>
  <c r="E151" i="2"/>
  <c r="E149" i="2"/>
  <c r="E156" i="2"/>
  <c r="E150" i="2"/>
  <c r="E148" i="2"/>
  <c r="E147" i="2"/>
  <c r="E146" i="2"/>
  <c r="E154" i="2"/>
  <c r="E145" i="2"/>
  <c r="E144" i="2"/>
  <c r="E155" i="2"/>
  <c r="E152" i="2"/>
  <c r="E153" i="2"/>
  <c r="E143" i="2"/>
  <c r="E30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25" i="2"/>
  <c r="E125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18" i="2"/>
  <c r="E115" i="2"/>
  <c r="E114" i="2"/>
  <c r="E112" i="2"/>
  <c r="E117" i="2"/>
  <c r="E108" i="2"/>
  <c r="E107" i="2"/>
  <c r="E109" i="2"/>
  <c r="E110" i="2"/>
  <c r="E116" i="2"/>
  <c r="E103" i="2"/>
  <c r="E104" i="2"/>
  <c r="E111" i="2"/>
  <c r="E106" i="2"/>
  <c r="E113" i="2"/>
  <c r="E105" i="2"/>
  <c r="E102" i="2"/>
  <c r="E99" i="2"/>
  <c r="E97" i="2"/>
  <c r="E95" i="2"/>
  <c r="E93" i="2"/>
  <c r="E94" i="2"/>
  <c r="E90" i="2"/>
  <c r="E88" i="2"/>
  <c r="E91" i="2"/>
  <c r="E87" i="2"/>
  <c r="E96" i="2"/>
  <c r="E85" i="2"/>
  <c r="E84" i="2"/>
  <c r="E92" i="2"/>
  <c r="E89" i="2"/>
  <c r="E98" i="2"/>
  <c r="E86" i="2"/>
  <c r="E83" i="2"/>
  <c r="E80" i="2"/>
  <c r="E78" i="2"/>
  <c r="E75" i="2"/>
  <c r="E73" i="2"/>
  <c r="E79" i="2"/>
  <c r="E69" i="2"/>
  <c r="E70" i="2"/>
  <c r="E71" i="2"/>
  <c r="E66" i="2"/>
  <c r="E77" i="2"/>
  <c r="E65" i="2"/>
  <c r="E67" i="2"/>
  <c r="E72" i="2"/>
  <c r="E76" i="2"/>
  <c r="E74" i="2"/>
  <c r="E68" i="2"/>
  <c r="E64" i="2"/>
  <c r="E61" i="2"/>
  <c r="E59" i="2"/>
  <c r="E51" i="2"/>
  <c r="E57" i="2"/>
  <c r="E60" i="2"/>
  <c r="E54" i="2"/>
  <c r="E52" i="2"/>
  <c r="E50" i="2"/>
  <c r="E49" i="2"/>
  <c r="E53" i="2"/>
  <c r="E46" i="2"/>
  <c r="E48" i="2"/>
  <c r="E55" i="2"/>
  <c r="E56" i="2"/>
  <c r="E58" i="2"/>
  <c r="E47" i="2"/>
  <c r="E45" i="2"/>
  <c r="E42" i="2"/>
  <c r="E41" i="2"/>
  <c r="E35" i="2"/>
  <c r="E33" i="2"/>
  <c r="E40" i="2"/>
  <c r="E34" i="2"/>
  <c r="E32" i="2"/>
  <c r="E31" i="2"/>
  <c r="E38" i="2"/>
  <c r="E29" i="2"/>
  <c r="E28" i="2"/>
  <c r="E39" i="2"/>
  <c r="E36" i="2"/>
  <c r="E37" i="2"/>
  <c r="E27" i="2"/>
  <c r="E26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5" i="2"/>
  <c r="I21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5" i="2"/>
  <c r="G11" i="2"/>
  <c r="G8" i="2"/>
  <c r="G7" i="2"/>
  <c r="G6" i="2"/>
  <c r="G5" i="2"/>
  <c r="G9" i="2"/>
  <c r="G10" i="2"/>
  <c r="G12" i="2"/>
  <c r="G13" i="2"/>
  <c r="G14" i="2"/>
  <c r="G15" i="2"/>
  <c r="G16" i="2"/>
  <c r="G17" i="2"/>
  <c r="G18" i="2"/>
  <c r="G19" i="2"/>
  <c r="G20" i="2"/>
  <c r="G21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5" i="2"/>
  <c r="L22" i="2"/>
  <c r="J22" i="2"/>
  <c r="H22" i="2"/>
  <c r="F22" i="2"/>
  <c r="D22" i="2"/>
  <c r="E21" i="1"/>
  <c r="F21" i="1"/>
  <c r="G21" i="1"/>
  <c r="H21" i="1"/>
  <c r="D21" i="1"/>
</calcChain>
</file>

<file path=xl/sharedStrings.xml><?xml version="1.0" encoding="utf-8"?>
<sst xmlns="http://schemas.openxmlformats.org/spreadsheetml/2006/main" count="275" uniqueCount="22">
  <si>
    <t>Central Office</t>
  </si>
  <si>
    <t>NCR</t>
  </si>
  <si>
    <t>CAR</t>
  </si>
  <si>
    <t>REGION I</t>
  </si>
  <si>
    <t>REGION II</t>
  </si>
  <si>
    <t>REGION III</t>
  </si>
  <si>
    <t>REGION IV-A</t>
  </si>
  <si>
    <t>REGION IV-B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</si>
  <si>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</si>
  <si>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</si>
  <si>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</si>
  <si>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</si>
  <si>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</si>
  <si>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</si>
  <si>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</si>
  <si>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</si>
  <si>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REGION XIII</t>
  </si>
  <si>
    <t>TOTAL</t>
  </si>
  <si>
    <t>DPWH Financial Plan Total Appropriation (in Thousand Pesos)</t>
  </si>
  <si>
    <t>Rank</t>
  </si>
  <si>
    <t>Without Central Office</t>
  </si>
  <si>
    <t>With Central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</si>
</sst>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2" borderId="0" xfId="0" applyFill="1"/>
    <xf numFmtId="0" fontId="0" fillId="0" borderId="0" xfId="0" applyFill="1"/>
    <xf numFmtId="0" fontId="0" fillId="0" borderId="0" xfId="0" applyBorder="1"/>
    <xf numFmtId="3" fontId="0" fillId="0" borderId="0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3" fontId="0" fillId="0" borderId="6" xfId="0" applyNumberFormat="1" applyBorder="1" applyAlignment="1">
      <alignment horizontal="center" vertical="center"/>
    </xf>
    <xf numFmtId="0" fontId="1" fillId="0" borderId="5" xfId="0" applyFont="1" applyBorder="1"/>
    <xf numFmtId="0" fontId="1" fillId="0" borderId="7" xfId="0" applyFont="1" applyBorder="1"/>
    <xf numFmtId="0" fontId="0" fillId="0" borderId="8" xfId="0" applyBorder="1"/>
    <xf numFmtId="3" fontId="2" fillId="0" borderId="8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" fillId="0" borderId="15" xfId="0" applyFont="1" applyBorder="1"/>
    <xf numFmtId="0" fontId="1" fillId="0" borderId="16" xfId="0" applyFont="1" applyBorder="1"/>
    <xf numFmtId="0" fontId="2" fillId="0" borderId="17" xfId="0" applyFon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3" fontId="0" fillId="0" borderId="9" xfId="0" applyNumberFormat="1" applyBorder="1" applyAlignment="1">
      <alignment horizontal="center" vertical="center"/>
    </xf>
    <xf numFmtId="0" fontId="3" fillId="0" borderId="0" xfId="0" applyFont="1" applyFill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873D-C5D8-2148-95BC-06B5D5EEE3BA}">
  <dimension ref="C2:H39"/>
  <sheetViews>
    <sheetView workbookViewId="0">
      <selection activeCell="L24" sqref="L24"/>
    </sheetView>
  </sheetViews>
  <sheetFormatPr baseColWidth="10" defaultRowHeight="16" x14ac:dyDescent="0.2"/>
  <cols>
    <col min="3" max="3" width="14.5" customWidth="1"/>
  </cols>
  <sheetData>
    <row r="2" spans="3:8" ht="17" thickBot="1" x14ac:dyDescent="0.25">
      <c r="C2" s="42" t="s">
        <v>21</v>
      </c>
    </row>
    <row r="3" spans="3:8" x14ac:dyDescent="0.2">
      <c r="C3" s="28"/>
      <c r="D3" s="32">
        <v>2020</v>
      </c>
      <c r="E3" s="26">
        <v>2021</v>
      </c>
      <c r="F3" s="35">
        <v>2022</v>
      </c>
      <c r="G3" s="32">
        <v>2023</v>
      </c>
      <c r="H3" s="27">
        <v>2024</v>
      </c>
    </row>
    <row r="4" spans="3:8" x14ac:dyDescent="0.2">
      <c r="C4" s="29" t="s">
        <v>0</v>
      </c>
      <c r="D4" s="33">
        <v>1</v>
      </c>
      <c r="E4" s="21">
        <v>1</v>
      </c>
      <c r="F4" s="36">
        <v>1</v>
      </c>
      <c r="G4" s="38">
        <v>1</v>
      </c>
      <c r="H4" s="22">
        <v>1</v>
      </c>
    </row>
    <row r="5" spans="3:8" x14ac:dyDescent="0.2">
      <c r="C5" s="29" t="s">
        <v>1</v>
      </c>
      <c r="D5" s="33">
        <v>2</v>
      </c>
      <c r="E5" s="21">
        <v>3</v>
      </c>
      <c r="F5" s="36">
        <v>5</v>
      </c>
      <c r="G5" s="38">
        <v>4</v>
      </c>
      <c r="H5" s="22">
        <v>4</v>
      </c>
    </row>
    <row r="6" spans="3:8" x14ac:dyDescent="0.2">
      <c r="C6" s="29" t="s">
        <v>2</v>
      </c>
      <c r="D6" s="33">
        <v>12</v>
      </c>
      <c r="E6" s="21">
        <v>14</v>
      </c>
      <c r="F6" s="36">
        <v>11</v>
      </c>
      <c r="G6" s="38">
        <v>16</v>
      </c>
      <c r="H6" s="22">
        <v>12</v>
      </c>
    </row>
    <row r="7" spans="3:8" x14ac:dyDescent="0.2">
      <c r="C7" s="29" t="s">
        <v>3</v>
      </c>
      <c r="D7" s="33">
        <v>11</v>
      </c>
      <c r="E7" s="21">
        <v>12</v>
      </c>
      <c r="F7" s="36">
        <v>13</v>
      </c>
      <c r="G7" s="38">
        <v>7</v>
      </c>
      <c r="H7" s="22">
        <v>5</v>
      </c>
    </row>
    <row r="8" spans="3:8" x14ac:dyDescent="0.2">
      <c r="C8" s="29" t="s">
        <v>4</v>
      </c>
      <c r="D8" s="33">
        <v>14</v>
      </c>
      <c r="E8" s="21">
        <v>11</v>
      </c>
      <c r="F8" s="36">
        <v>9</v>
      </c>
      <c r="G8" s="38">
        <v>10</v>
      </c>
      <c r="H8" s="22">
        <v>10</v>
      </c>
    </row>
    <row r="9" spans="3:8" x14ac:dyDescent="0.2">
      <c r="C9" s="29" t="s">
        <v>5</v>
      </c>
      <c r="D9" s="33">
        <v>3</v>
      </c>
      <c r="E9" s="21">
        <v>4</v>
      </c>
      <c r="F9" s="36">
        <v>4</v>
      </c>
      <c r="G9" s="38">
        <v>2</v>
      </c>
      <c r="H9" s="22">
        <v>3</v>
      </c>
    </row>
    <row r="10" spans="3:8" x14ac:dyDescent="0.2">
      <c r="C10" s="30" t="s">
        <v>6</v>
      </c>
      <c r="D10" s="33">
        <v>4</v>
      </c>
      <c r="E10" s="21">
        <v>2</v>
      </c>
      <c r="F10" s="36">
        <v>2</v>
      </c>
      <c r="G10" s="38">
        <v>3</v>
      </c>
      <c r="H10" s="22">
        <v>2</v>
      </c>
    </row>
    <row r="11" spans="3:8" x14ac:dyDescent="0.2">
      <c r="C11" s="30" t="s">
        <v>7</v>
      </c>
      <c r="D11" s="33">
        <v>13</v>
      </c>
      <c r="E11" s="21">
        <v>9</v>
      </c>
      <c r="F11" s="36">
        <v>14</v>
      </c>
      <c r="G11" s="38">
        <v>14</v>
      </c>
      <c r="H11" s="22">
        <v>15</v>
      </c>
    </row>
    <row r="12" spans="3:8" x14ac:dyDescent="0.2">
      <c r="C12" s="30" t="s">
        <v>8</v>
      </c>
      <c r="D12" s="33">
        <v>5</v>
      </c>
      <c r="E12" s="21">
        <v>5</v>
      </c>
      <c r="F12" s="36">
        <v>3</v>
      </c>
      <c r="G12" s="38">
        <v>5</v>
      </c>
      <c r="H12" s="22">
        <v>9</v>
      </c>
    </row>
    <row r="13" spans="3:8" x14ac:dyDescent="0.2">
      <c r="C13" s="30" t="s">
        <v>9</v>
      </c>
      <c r="D13" s="33">
        <v>6</v>
      </c>
      <c r="E13" s="21">
        <v>6</v>
      </c>
      <c r="F13" s="36">
        <v>8</v>
      </c>
      <c r="G13" s="38">
        <v>9</v>
      </c>
      <c r="H13" s="22">
        <v>8</v>
      </c>
    </row>
    <row r="14" spans="3:8" x14ac:dyDescent="0.2">
      <c r="C14" s="30" t="s">
        <v>10</v>
      </c>
      <c r="D14" s="33">
        <v>7</v>
      </c>
      <c r="E14" s="21">
        <v>8</v>
      </c>
      <c r="F14" s="36">
        <v>7</v>
      </c>
      <c r="G14" s="38">
        <v>6</v>
      </c>
      <c r="H14" s="22">
        <v>6</v>
      </c>
    </row>
    <row r="15" spans="3:8" x14ac:dyDescent="0.2">
      <c r="C15" s="30" t="s">
        <v>11</v>
      </c>
      <c r="D15" s="33">
        <v>9</v>
      </c>
      <c r="E15" s="21">
        <v>10</v>
      </c>
      <c r="F15" s="36">
        <v>6</v>
      </c>
      <c r="G15" s="38">
        <v>8</v>
      </c>
      <c r="H15" s="22">
        <v>7</v>
      </c>
    </row>
    <row r="16" spans="3:8" x14ac:dyDescent="0.2">
      <c r="C16" s="30" t="s">
        <v>12</v>
      </c>
      <c r="D16" s="33">
        <v>15</v>
      </c>
      <c r="E16" s="21">
        <v>16</v>
      </c>
      <c r="F16" s="36">
        <v>16</v>
      </c>
      <c r="G16" s="38">
        <v>12</v>
      </c>
      <c r="H16" s="22">
        <v>16</v>
      </c>
    </row>
    <row r="17" spans="3:8" x14ac:dyDescent="0.2">
      <c r="C17" s="30" t="s">
        <v>13</v>
      </c>
      <c r="D17" s="33">
        <v>8</v>
      </c>
      <c r="E17" s="21">
        <v>13</v>
      </c>
      <c r="F17" s="36">
        <v>10</v>
      </c>
      <c r="G17" s="38">
        <v>11</v>
      </c>
      <c r="H17" s="22">
        <v>11</v>
      </c>
    </row>
    <row r="18" spans="3:8" x14ac:dyDescent="0.2">
      <c r="C18" s="30" t="s">
        <v>14</v>
      </c>
      <c r="D18" s="33">
        <v>10</v>
      </c>
      <c r="E18" s="21">
        <v>7</v>
      </c>
      <c r="F18" s="36">
        <v>12</v>
      </c>
      <c r="G18" s="38">
        <v>13</v>
      </c>
      <c r="H18" s="22">
        <v>13</v>
      </c>
    </row>
    <row r="19" spans="3:8" x14ac:dyDescent="0.2">
      <c r="C19" s="30" t="s">
        <v>15</v>
      </c>
      <c r="D19" s="33">
        <v>16</v>
      </c>
      <c r="E19" s="21">
        <v>15</v>
      </c>
      <c r="F19" s="36">
        <v>15</v>
      </c>
      <c r="G19" s="38">
        <v>15</v>
      </c>
      <c r="H19" s="22">
        <v>14</v>
      </c>
    </row>
    <row r="20" spans="3:8" ht="17" thickBot="1" x14ac:dyDescent="0.25">
      <c r="C20" s="31" t="s">
        <v>16</v>
      </c>
      <c r="D20" s="34">
        <v>17</v>
      </c>
      <c r="E20" s="24">
        <v>17</v>
      </c>
      <c r="F20" s="37">
        <v>17</v>
      </c>
      <c r="G20" s="39">
        <v>17</v>
      </c>
      <c r="H20" s="25">
        <v>17</v>
      </c>
    </row>
    <row r="22" spans="3:8" ht="17" thickBot="1" x14ac:dyDescent="0.25">
      <c r="C22" s="42" t="s">
        <v>20</v>
      </c>
    </row>
    <row r="23" spans="3:8" x14ac:dyDescent="0.2">
      <c r="C23" s="28"/>
      <c r="D23" s="32">
        <v>2020</v>
      </c>
      <c r="E23" s="26">
        <v>2021</v>
      </c>
      <c r="F23" s="35">
        <v>2022</v>
      </c>
      <c r="G23" s="32">
        <v>2023</v>
      </c>
      <c r="H23" s="27">
        <v>2024</v>
      </c>
    </row>
    <row r="24" spans="3:8" x14ac:dyDescent="0.2">
      <c r="C24" s="29" t="s">
        <v>1</v>
      </c>
      <c r="D24" s="33">
        <v>1</v>
      </c>
      <c r="E24" s="21">
        <v>2</v>
      </c>
      <c r="F24" s="36">
        <v>4</v>
      </c>
      <c r="G24" s="38">
        <v>3</v>
      </c>
      <c r="H24" s="22">
        <v>3</v>
      </c>
    </row>
    <row r="25" spans="3:8" x14ac:dyDescent="0.2">
      <c r="C25" s="29" t="s">
        <v>2</v>
      </c>
      <c r="D25" s="33">
        <v>11</v>
      </c>
      <c r="E25" s="21">
        <v>13</v>
      </c>
      <c r="F25" s="36">
        <v>10</v>
      </c>
      <c r="G25" s="38">
        <v>15</v>
      </c>
      <c r="H25" s="22">
        <v>11</v>
      </c>
    </row>
    <row r="26" spans="3:8" x14ac:dyDescent="0.2">
      <c r="C26" s="29" t="s">
        <v>3</v>
      </c>
      <c r="D26" s="33">
        <v>10</v>
      </c>
      <c r="E26" s="21">
        <v>11</v>
      </c>
      <c r="F26" s="36">
        <v>12</v>
      </c>
      <c r="G26" s="38">
        <v>6</v>
      </c>
      <c r="H26" s="22">
        <v>4</v>
      </c>
    </row>
    <row r="27" spans="3:8" x14ac:dyDescent="0.2">
      <c r="C27" s="29" t="s">
        <v>4</v>
      </c>
      <c r="D27" s="33">
        <v>13</v>
      </c>
      <c r="E27" s="21">
        <v>10</v>
      </c>
      <c r="F27" s="36">
        <v>8</v>
      </c>
      <c r="G27" s="38">
        <v>9</v>
      </c>
      <c r="H27" s="22">
        <v>9</v>
      </c>
    </row>
    <row r="28" spans="3:8" x14ac:dyDescent="0.2">
      <c r="C28" s="29" t="s">
        <v>5</v>
      </c>
      <c r="D28" s="33">
        <v>2</v>
      </c>
      <c r="E28" s="21">
        <v>3</v>
      </c>
      <c r="F28" s="36">
        <v>3</v>
      </c>
      <c r="G28" s="38">
        <v>1</v>
      </c>
      <c r="H28" s="22">
        <v>2</v>
      </c>
    </row>
    <row r="29" spans="3:8" x14ac:dyDescent="0.2">
      <c r="C29" s="30" t="s">
        <v>6</v>
      </c>
      <c r="D29" s="33">
        <v>3</v>
      </c>
      <c r="E29" s="21">
        <v>1</v>
      </c>
      <c r="F29" s="36">
        <v>1</v>
      </c>
      <c r="G29" s="38">
        <v>2</v>
      </c>
      <c r="H29" s="22">
        <v>1</v>
      </c>
    </row>
    <row r="30" spans="3:8" x14ac:dyDescent="0.2">
      <c r="C30" s="30" t="s">
        <v>7</v>
      </c>
      <c r="D30" s="33">
        <v>12</v>
      </c>
      <c r="E30" s="21">
        <v>8</v>
      </c>
      <c r="F30" s="36">
        <v>13</v>
      </c>
      <c r="G30" s="38">
        <v>13</v>
      </c>
      <c r="H30" s="22">
        <v>14</v>
      </c>
    </row>
    <row r="31" spans="3:8" x14ac:dyDescent="0.2">
      <c r="C31" s="30" t="s">
        <v>8</v>
      </c>
      <c r="D31" s="33">
        <v>4</v>
      </c>
      <c r="E31" s="21">
        <v>4</v>
      </c>
      <c r="F31" s="36">
        <v>2</v>
      </c>
      <c r="G31" s="38">
        <v>4</v>
      </c>
      <c r="H31" s="22">
        <v>8</v>
      </c>
    </row>
    <row r="32" spans="3:8" x14ac:dyDescent="0.2">
      <c r="C32" s="30" t="s">
        <v>9</v>
      </c>
      <c r="D32" s="33">
        <v>5</v>
      </c>
      <c r="E32" s="21">
        <v>5</v>
      </c>
      <c r="F32" s="36">
        <v>7</v>
      </c>
      <c r="G32" s="38">
        <v>8</v>
      </c>
      <c r="H32" s="22">
        <v>7</v>
      </c>
    </row>
    <row r="33" spans="3:8" x14ac:dyDescent="0.2">
      <c r="C33" s="30" t="s">
        <v>10</v>
      </c>
      <c r="D33" s="33">
        <v>6</v>
      </c>
      <c r="E33" s="21">
        <v>7</v>
      </c>
      <c r="F33" s="36">
        <v>6</v>
      </c>
      <c r="G33" s="38">
        <v>5</v>
      </c>
      <c r="H33" s="22">
        <v>5</v>
      </c>
    </row>
    <row r="34" spans="3:8" x14ac:dyDescent="0.2">
      <c r="C34" s="30" t="s">
        <v>11</v>
      </c>
      <c r="D34" s="33">
        <v>8</v>
      </c>
      <c r="E34" s="21">
        <v>9</v>
      </c>
      <c r="F34" s="36">
        <v>5</v>
      </c>
      <c r="G34" s="38">
        <v>7</v>
      </c>
      <c r="H34" s="22">
        <v>6</v>
      </c>
    </row>
    <row r="35" spans="3:8" x14ac:dyDescent="0.2">
      <c r="C35" s="30" t="s">
        <v>12</v>
      </c>
      <c r="D35" s="33">
        <v>14</v>
      </c>
      <c r="E35" s="21">
        <v>15</v>
      </c>
      <c r="F35" s="36">
        <v>15</v>
      </c>
      <c r="G35" s="38">
        <v>11</v>
      </c>
      <c r="H35" s="22">
        <v>15</v>
      </c>
    </row>
    <row r="36" spans="3:8" x14ac:dyDescent="0.2">
      <c r="C36" s="30" t="s">
        <v>13</v>
      </c>
      <c r="D36" s="33">
        <v>7</v>
      </c>
      <c r="E36" s="21">
        <v>12</v>
      </c>
      <c r="F36" s="36">
        <v>9</v>
      </c>
      <c r="G36" s="38">
        <v>10</v>
      </c>
      <c r="H36" s="22">
        <v>10</v>
      </c>
    </row>
    <row r="37" spans="3:8" x14ac:dyDescent="0.2">
      <c r="C37" s="30" t="s">
        <v>14</v>
      </c>
      <c r="D37" s="33">
        <v>9</v>
      </c>
      <c r="E37" s="21">
        <v>6</v>
      </c>
      <c r="F37" s="36">
        <v>11</v>
      </c>
      <c r="G37" s="38">
        <v>12</v>
      </c>
      <c r="H37" s="22">
        <v>12</v>
      </c>
    </row>
    <row r="38" spans="3:8" x14ac:dyDescent="0.2">
      <c r="C38" s="30" t="s">
        <v>15</v>
      </c>
      <c r="D38" s="33">
        <v>15</v>
      </c>
      <c r="E38" s="21">
        <v>14</v>
      </c>
      <c r="F38" s="36">
        <v>14</v>
      </c>
      <c r="G38" s="38">
        <v>14</v>
      </c>
      <c r="H38" s="22">
        <v>13</v>
      </c>
    </row>
    <row r="39" spans="3:8" ht="17" thickBot="1" x14ac:dyDescent="0.25">
      <c r="C39" s="31" t="s">
        <v>16</v>
      </c>
      <c r="D39" s="34">
        <v>16</v>
      </c>
      <c r="E39" s="24">
        <v>16</v>
      </c>
      <c r="F39" s="37">
        <v>16</v>
      </c>
      <c r="G39" s="39">
        <v>16</v>
      </c>
      <c r="H39" s="2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E632-8DEC-9743-B284-02BBC93A8D37}">
  <dimension ref="B2:H21"/>
  <sheetViews>
    <sheetView zoomScale="112" workbookViewId="0">
      <selection activeCell="C25" sqref="C25"/>
    </sheetView>
  </sheetViews>
  <sheetFormatPr baseColWidth="10" defaultRowHeight="16" x14ac:dyDescent="0.2"/>
  <cols>
    <col min="4" max="4" width="11.33203125" bestFit="1" customWidth="1"/>
    <col min="5" max="6" width="11.1640625" bestFit="1" customWidth="1"/>
    <col min="7" max="8" width="11" bestFit="1" customWidth="1"/>
  </cols>
  <sheetData>
    <row r="2" spans="2:8" x14ac:dyDescent="0.2">
      <c r="D2" s="2" t="s">
        <v>18</v>
      </c>
      <c r="E2" s="2"/>
      <c r="F2" s="2"/>
      <c r="G2" s="2"/>
      <c r="H2" s="2"/>
    </row>
    <row r="3" spans="2:8" x14ac:dyDescent="0.2">
      <c r="D3" s="3">
        <v>2020</v>
      </c>
      <c r="E3" s="3">
        <v>2021</v>
      </c>
      <c r="F3" s="3">
        <v>2022</v>
      </c>
      <c r="G3" s="3">
        <v>2023</v>
      </c>
      <c r="H3" s="3">
        <v>2024</v>
      </c>
    </row>
    <row r="4" spans="2:8" x14ac:dyDescent="0.2">
      <c r="B4" t="s">
        <v>0</v>
      </c>
      <c r="D4" s="4">
        <v>350425859</v>
      </c>
      <c r="E4" s="4">
        <v>602471395</v>
      </c>
      <c r="F4" s="4">
        <v>465067165</v>
      </c>
      <c r="G4" s="4">
        <v>622503467</v>
      </c>
      <c r="H4" s="4">
        <v>635307653</v>
      </c>
    </row>
    <row r="5" spans="2:8" x14ac:dyDescent="0.2">
      <c r="B5" t="s">
        <v>1</v>
      </c>
      <c r="D5" s="4">
        <v>17462536</v>
      </c>
      <c r="E5" s="4">
        <v>6880826</v>
      </c>
      <c r="F5" s="4">
        <v>20354788</v>
      </c>
      <c r="G5" s="4">
        <v>23334820</v>
      </c>
      <c r="H5" s="4">
        <v>17679310</v>
      </c>
    </row>
    <row r="6" spans="2:8" x14ac:dyDescent="0.2">
      <c r="B6" t="s">
        <v>2</v>
      </c>
      <c r="D6" s="4">
        <v>9205701</v>
      </c>
      <c r="E6" s="4">
        <v>2147030</v>
      </c>
      <c r="F6" s="4">
        <v>11535787</v>
      </c>
      <c r="G6" s="4">
        <v>9421767</v>
      </c>
      <c r="H6" s="4">
        <v>9518182</v>
      </c>
    </row>
    <row r="7" spans="2:8" x14ac:dyDescent="0.2">
      <c r="B7" t="s">
        <v>3</v>
      </c>
      <c r="D7" s="4">
        <v>10105199</v>
      </c>
      <c r="E7" s="4">
        <v>3134623</v>
      </c>
      <c r="F7" s="4">
        <v>9894521</v>
      </c>
      <c r="G7" s="4">
        <v>20053118</v>
      </c>
      <c r="H7" s="4">
        <v>15432148</v>
      </c>
    </row>
    <row r="8" spans="2:8" x14ac:dyDescent="0.2">
      <c r="B8" t="s">
        <v>4</v>
      </c>
      <c r="D8" s="4">
        <v>8701377</v>
      </c>
      <c r="E8" s="4">
        <v>3221725</v>
      </c>
      <c r="F8" s="4">
        <v>12428555</v>
      </c>
      <c r="G8" s="4">
        <v>17619062</v>
      </c>
      <c r="H8" s="4">
        <v>10087458</v>
      </c>
    </row>
    <row r="9" spans="2:8" x14ac:dyDescent="0.2">
      <c r="B9" t="s">
        <v>5</v>
      </c>
      <c r="D9" s="4">
        <v>16674168</v>
      </c>
      <c r="E9" s="4">
        <v>6765080</v>
      </c>
      <c r="F9" s="4">
        <v>21509389</v>
      </c>
      <c r="G9" s="4">
        <v>30369998</v>
      </c>
      <c r="H9" s="4">
        <v>18786522</v>
      </c>
    </row>
    <row r="10" spans="2:8" x14ac:dyDescent="0.2">
      <c r="B10" s="1" t="s">
        <v>6</v>
      </c>
      <c r="D10" s="4">
        <v>16308448</v>
      </c>
      <c r="E10" s="4">
        <v>7871537</v>
      </c>
      <c r="F10" s="4">
        <v>22453239</v>
      </c>
      <c r="G10" s="4">
        <v>28368300</v>
      </c>
      <c r="H10" s="4">
        <v>20124511</v>
      </c>
    </row>
    <row r="11" spans="2:8" x14ac:dyDescent="0.2">
      <c r="B11" s="1" t="s">
        <v>7</v>
      </c>
      <c r="D11" s="4">
        <v>8991688</v>
      </c>
      <c r="E11" s="4">
        <v>3646021</v>
      </c>
      <c r="F11" s="4">
        <v>9814480</v>
      </c>
      <c r="G11" s="4">
        <v>9616692</v>
      </c>
      <c r="H11" s="4">
        <v>6838572</v>
      </c>
    </row>
    <row r="12" spans="2:8" x14ac:dyDescent="0.2">
      <c r="B12" s="1" t="s">
        <v>8</v>
      </c>
      <c r="D12" s="4">
        <v>14455146</v>
      </c>
      <c r="E12" s="4">
        <v>5565602</v>
      </c>
      <c r="F12" s="4">
        <v>22393281</v>
      </c>
      <c r="G12" s="4">
        <v>20282278</v>
      </c>
      <c r="H12" s="4">
        <v>10618509</v>
      </c>
    </row>
    <row r="13" spans="2:8" x14ac:dyDescent="0.2">
      <c r="B13" s="1" t="s">
        <v>9</v>
      </c>
      <c r="D13" s="4">
        <v>12796955</v>
      </c>
      <c r="E13" s="4">
        <v>4413679</v>
      </c>
      <c r="F13" s="4">
        <v>13824917</v>
      </c>
      <c r="G13" s="4">
        <v>18701838</v>
      </c>
      <c r="H13" s="4">
        <v>12196763</v>
      </c>
    </row>
    <row r="14" spans="2:8" x14ac:dyDescent="0.2">
      <c r="B14" s="1" t="s">
        <v>10</v>
      </c>
      <c r="D14" s="4">
        <v>11696886</v>
      </c>
      <c r="E14" s="4">
        <v>3871214</v>
      </c>
      <c r="F14" s="4">
        <v>14055371</v>
      </c>
      <c r="G14" s="4">
        <v>20128537</v>
      </c>
      <c r="H14" s="4">
        <v>14836301</v>
      </c>
    </row>
    <row r="15" spans="2:8" x14ac:dyDescent="0.2">
      <c r="B15" s="1" t="s">
        <v>11</v>
      </c>
      <c r="D15" s="4">
        <v>11557689</v>
      </c>
      <c r="E15" s="4">
        <v>3396434</v>
      </c>
      <c r="F15" s="4">
        <v>18102074</v>
      </c>
      <c r="G15" s="4">
        <v>19903497</v>
      </c>
      <c r="H15" s="4">
        <v>13290637</v>
      </c>
    </row>
    <row r="16" spans="2:8" x14ac:dyDescent="0.2">
      <c r="B16" s="1" t="s">
        <v>12</v>
      </c>
      <c r="D16" s="4">
        <v>8379365</v>
      </c>
      <c r="E16" s="4">
        <v>1886478</v>
      </c>
      <c r="F16" s="4">
        <v>7320090</v>
      </c>
      <c r="G16" s="4">
        <v>10927572</v>
      </c>
      <c r="H16" s="4">
        <v>5868362</v>
      </c>
    </row>
    <row r="17" spans="2:8" x14ac:dyDescent="0.2">
      <c r="B17" s="1" t="s">
        <v>13</v>
      </c>
      <c r="D17" s="4">
        <v>11687133</v>
      </c>
      <c r="E17" s="4">
        <v>3076169</v>
      </c>
      <c r="F17" s="4">
        <v>11741571</v>
      </c>
      <c r="G17" s="4">
        <v>15217435</v>
      </c>
      <c r="H17" s="4">
        <v>9652606</v>
      </c>
    </row>
    <row r="18" spans="2:8" x14ac:dyDescent="0.2">
      <c r="B18" s="1" t="s">
        <v>14</v>
      </c>
      <c r="D18" s="4">
        <v>11305446</v>
      </c>
      <c r="E18" s="4">
        <v>4392742</v>
      </c>
      <c r="F18" s="4">
        <v>10470140</v>
      </c>
      <c r="G18" s="4">
        <v>9787317</v>
      </c>
      <c r="H18" s="4">
        <v>8239933</v>
      </c>
    </row>
    <row r="19" spans="2:8" x14ac:dyDescent="0.2">
      <c r="B19" s="1" t="s">
        <v>15</v>
      </c>
      <c r="D19" s="4">
        <v>8198079</v>
      </c>
      <c r="E19" s="4">
        <v>1938818</v>
      </c>
      <c r="F19" s="4">
        <v>7913395</v>
      </c>
      <c r="G19" s="4">
        <v>9492941</v>
      </c>
      <c r="H19" s="4">
        <v>7431724</v>
      </c>
    </row>
    <row r="20" spans="2:8" x14ac:dyDescent="0.2">
      <c r="B20" s="1" t="s">
        <v>16</v>
      </c>
      <c r="D20" s="4">
        <v>6333850</v>
      </c>
      <c r="E20" s="4">
        <v>1794916</v>
      </c>
      <c r="F20" s="4">
        <v>6358323</v>
      </c>
      <c r="G20" s="4">
        <v>7392401</v>
      </c>
      <c r="H20" s="4">
        <v>5197555</v>
      </c>
    </row>
    <row r="21" spans="2:8" x14ac:dyDescent="0.2">
      <c r="B21" s="1" t="s">
        <v>17</v>
      </c>
      <c r="D21" s="5">
        <f>SUM(D4:D20)</f>
        <v>534285525</v>
      </c>
      <c r="E21" s="5">
        <f t="shared" ref="E21:H21" si="0">SUM(E4:E20)</f>
        <v>666474289</v>
      </c>
      <c r="F21" s="5">
        <f t="shared" si="0"/>
        <v>685237086</v>
      </c>
      <c r="G21" s="5">
        <f t="shared" si="0"/>
        <v>893121040</v>
      </c>
      <c r="H21" s="5">
        <f t="shared" si="0"/>
        <v>821106746</v>
      </c>
    </row>
  </sheetData>
  <mergeCells count="1">
    <mergeCell ref="D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ADD3-C315-4D4A-965D-CDA1946EDBBB}">
  <dimension ref="B2:M326"/>
  <sheetViews>
    <sheetView tabSelected="1" topLeftCell="A120" workbookViewId="0">
      <selection activeCell="I154" sqref="I154"/>
    </sheetView>
  </sheetViews>
  <sheetFormatPr baseColWidth="10" defaultRowHeight="16" x14ac:dyDescent="0.2"/>
  <sheetData>
    <row r="2" spans="2:13" x14ac:dyDescent="0.2">
      <c r="B2" s="40" t="s">
        <v>21</v>
      </c>
    </row>
    <row r="3" spans="2:13" ht="17" thickBot="1" x14ac:dyDescent="0.25"/>
    <row r="4" spans="2:13" x14ac:dyDescent="0.2">
      <c r="B4" s="10"/>
      <c r="C4" s="11"/>
      <c r="D4" s="12">
        <v>2020</v>
      </c>
      <c r="E4" s="12" t="s">
        <v>19</v>
      </c>
      <c r="F4" s="12">
        <v>2021</v>
      </c>
      <c r="G4" s="12" t="s">
        <v>19</v>
      </c>
      <c r="H4" s="12">
        <v>2022</v>
      </c>
      <c r="I4" s="12" t="s">
        <v>19</v>
      </c>
      <c r="J4" s="12">
        <v>2023</v>
      </c>
      <c r="K4" s="12" t="s">
        <v>19</v>
      </c>
      <c r="L4" s="12">
        <v>2024</v>
      </c>
      <c r="M4" s="13" t="s">
        <v>19</v>
      </c>
    </row>
    <row r="5" spans="2:13" x14ac:dyDescent="0.2">
      <c r="B5" s="14" t="s">
        <v>0</v>
      </c>
      <c r="C5" s="8"/>
      <c r="D5" s="9">
        <v>350425859</v>
      </c>
      <c r="E5" s="9">
        <f>_xlfn.RANK.EQ(D5,$D$5:$D$21,0)</f>
        <v>1</v>
      </c>
      <c r="F5" s="9">
        <v>602471395</v>
      </c>
      <c r="G5" s="9">
        <f>_xlfn.RANK.EQ(F5,$F$5:$F$21,0)</f>
        <v>1</v>
      </c>
      <c r="H5" s="9">
        <v>465067165</v>
      </c>
      <c r="I5" s="9">
        <f>_xlfn.RANK.EQ(H5,$H$5:$H$21,0)</f>
        <v>1</v>
      </c>
      <c r="J5" s="9">
        <v>622503467</v>
      </c>
      <c r="K5" s="9">
        <f>_xlfn.RANK.EQ(J5,$J$5:$J$21,0)</f>
        <v>1</v>
      </c>
      <c r="L5" s="9">
        <v>635307653</v>
      </c>
      <c r="M5" s="15">
        <f>_xlfn.RANK.EQ(L5,$L$5:$L$21,0)</f>
        <v>1</v>
      </c>
    </row>
    <row r="6" spans="2:13" x14ac:dyDescent="0.2">
      <c r="B6" s="14" t="s">
        <v>1</v>
      </c>
      <c r="C6" s="8"/>
      <c r="D6" s="9">
        <v>17462536</v>
      </c>
      <c r="E6" s="9">
        <f>_xlfn.RANK.EQ(D6,$D$5:$D$21,0)</f>
        <v>2</v>
      </c>
      <c r="F6" s="9">
        <v>6880826</v>
      </c>
      <c r="G6" s="9">
        <f>_xlfn.RANK.EQ(F6,$F$5:$F$21,0)</f>
        <v>3</v>
      </c>
      <c r="H6" s="9">
        <v>20354788</v>
      </c>
      <c r="I6" s="9">
        <f>_xlfn.RANK.EQ(H6,$H$5:$H$21,0)</f>
        <v>5</v>
      </c>
      <c r="J6" s="9">
        <v>23334820</v>
      </c>
      <c r="K6" s="9">
        <f>_xlfn.RANK.EQ(J6,$J$5:$J$21,0)</f>
        <v>4</v>
      </c>
      <c r="L6" s="9">
        <v>17679310</v>
      </c>
      <c r="M6" s="15">
        <f t="shared" ref="M6:M21" si="0">_xlfn.RANK.EQ(L6,$L$5:$L$21,0)</f>
        <v>4</v>
      </c>
    </row>
    <row r="7" spans="2:13" x14ac:dyDescent="0.2">
      <c r="B7" s="14" t="s">
        <v>2</v>
      </c>
      <c r="C7" s="8"/>
      <c r="D7" s="9">
        <v>9205701</v>
      </c>
      <c r="E7" s="9">
        <f>_xlfn.RANK.EQ(D7,$D$5:$D$21,0)</f>
        <v>12</v>
      </c>
      <c r="F7" s="9">
        <v>2147030</v>
      </c>
      <c r="G7" s="9">
        <f>_xlfn.RANK.EQ(F7,$F$5:$F$21,0)</f>
        <v>14</v>
      </c>
      <c r="H7" s="9">
        <v>11535787</v>
      </c>
      <c r="I7" s="9">
        <f>_xlfn.RANK.EQ(H7,$H$5:$H$21,0)</f>
        <v>11</v>
      </c>
      <c r="J7" s="9">
        <v>9421767</v>
      </c>
      <c r="K7" s="9">
        <f>_xlfn.RANK.EQ(J7,$J$5:$J$21,0)</f>
        <v>16</v>
      </c>
      <c r="L7" s="9">
        <v>9518182</v>
      </c>
      <c r="M7" s="15">
        <f t="shared" si="0"/>
        <v>12</v>
      </c>
    </row>
    <row r="8" spans="2:13" x14ac:dyDescent="0.2">
      <c r="B8" s="14" t="s">
        <v>3</v>
      </c>
      <c r="C8" s="8"/>
      <c r="D8" s="9">
        <v>10105199</v>
      </c>
      <c r="E8" s="9">
        <f>_xlfn.RANK.EQ(D8,$D$5:$D$21,0)</f>
        <v>11</v>
      </c>
      <c r="F8" s="9">
        <v>3134623</v>
      </c>
      <c r="G8" s="9">
        <f>_xlfn.RANK.EQ(F8,$F$5:$F$21,0)</f>
        <v>12</v>
      </c>
      <c r="H8" s="9">
        <v>9894521</v>
      </c>
      <c r="I8" s="9">
        <f>_xlfn.RANK.EQ(H8,$H$5:$H$21,0)</f>
        <v>13</v>
      </c>
      <c r="J8" s="9">
        <v>20053118</v>
      </c>
      <c r="K8" s="9">
        <f>_xlfn.RANK.EQ(J8,$J$5:$J$21,0)</f>
        <v>7</v>
      </c>
      <c r="L8" s="9">
        <v>15432148</v>
      </c>
      <c r="M8" s="15">
        <f t="shared" si="0"/>
        <v>5</v>
      </c>
    </row>
    <row r="9" spans="2:13" x14ac:dyDescent="0.2">
      <c r="B9" s="14" t="s">
        <v>4</v>
      </c>
      <c r="C9" s="8"/>
      <c r="D9" s="9">
        <v>8701377</v>
      </c>
      <c r="E9" s="9">
        <f>_xlfn.RANK.EQ(D9,$D$5:$D$21,0)</f>
        <v>14</v>
      </c>
      <c r="F9" s="9">
        <v>3221725</v>
      </c>
      <c r="G9" s="9">
        <f>_xlfn.RANK.EQ(F9,$F$5:$F$21,0)</f>
        <v>11</v>
      </c>
      <c r="H9" s="9">
        <v>12428555</v>
      </c>
      <c r="I9" s="9">
        <f>_xlfn.RANK.EQ(H9,$H$5:$H$21,0)</f>
        <v>9</v>
      </c>
      <c r="J9" s="9">
        <v>17619062</v>
      </c>
      <c r="K9" s="9">
        <f>_xlfn.RANK.EQ(J9,$J$5:$J$21,0)</f>
        <v>10</v>
      </c>
      <c r="L9" s="9">
        <v>10087458</v>
      </c>
      <c r="M9" s="15">
        <f t="shared" si="0"/>
        <v>10</v>
      </c>
    </row>
    <row r="10" spans="2:13" x14ac:dyDescent="0.2">
      <c r="B10" s="14" t="s">
        <v>5</v>
      </c>
      <c r="C10" s="8"/>
      <c r="D10" s="9">
        <v>16674168</v>
      </c>
      <c r="E10" s="9">
        <f>_xlfn.RANK.EQ(D10,$D$5:$D$21,0)</f>
        <v>3</v>
      </c>
      <c r="F10" s="9">
        <v>6765080</v>
      </c>
      <c r="G10" s="9">
        <f>_xlfn.RANK.EQ(F10,$F$5:$F$21,0)</f>
        <v>4</v>
      </c>
      <c r="H10" s="9">
        <v>21509389</v>
      </c>
      <c r="I10" s="9">
        <f>_xlfn.RANK.EQ(H10,$H$5:$H$21,0)</f>
        <v>4</v>
      </c>
      <c r="J10" s="9">
        <v>30369998</v>
      </c>
      <c r="K10" s="9">
        <f>_xlfn.RANK.EQ(J10,$J$5:$J$21,0)</f>
        <v>2</v>
      </c>
      <c r="L10" s="9">
        <v>18786522</v>
      </c>
      <c r="M10" s="15">
        <f t="shared" si="0"/>
        <v>3</v>
      </c>
    </row>
    <row r="11" spans="2:13" x14ac:dyDescent="0.2">
      <c r="B11" s="16" t="s">
        <v>6</v>
      </c>
      <c r="C11" s="8"/>
      <c r="D11" s="9">
        <v>16308448</v>
      </c>
      <c r="E11" s="9">
        <f>_xlfn.RANK.EQ(D11,$D$5:$D$21,0)</f>
        <v>4</v>
      </c>
      <c r="F11" s="9">
        <v>7871537</v>
      </c>
      <c r="G11" s="9">
        <f>_xlfn.RANK.EQ(F11,$F$5:$F$21,0)</f>
        <v>2</v>
      </c>
      <c r="H11" s="9">
        <v>22453239</v>
      </c>
      <c r="I11" s="9">
        <f>_xlfn.RANK.EQ(H11,$H$5:$H$21,0)</f>
        <v>2</v>
      </c>
      <c r="J11" s="9">
        <v>28368300</v>
      </c>
      <c r="K11" s="9">
        <f>_xlfn.RANK.EQ(J11,$J$5:$J$21,0)</f>
        <v>3</v>
      </c>
      <c r="L11" s="9">
        <v>20124511</v>
      </c>
      <c r="M11" s="15">
        <f t="shared" si="0"/>
        <v>2</v>
      </c>
    </row>
    <row r="12" spans="2:13" x14ac:dyDescent="0.2">
      <c r="B12" s="16" t="s">
        <v>7</v>
      </c>
      <c r="C12" s="8"/>
      <c r="D12" s="9">
        <v>8991688</v>
      </c>
      <c r="E12" s="9">
        <f>_xlfn.RANK.EQ(D12,$D$5:$D$21,0)</f>
        <v>13</v>
      </c>
      <c r="F12" s="9">
        <v>3646021</v>
      </c>
      <c r="G12" s="9">
        <f>_xlfn.RANK.EQ(F12,$F$5:$F$21,0)</f>
        <v>9</v>
      </c>
      <c r="H12" s="9">
        <v>9814480</v>
      </c>
      <c r="I12" s="9">
        <f>_xlfn.RANK.EQ(H12,$H$5:$H$21,0)</f>
        <v>14</v>
      </c>
      <c r="J12" s="9">
        <v>9616692</v>
      </c>
      <c r="K12" s="9">
        <f>_xlfn.RANK.EQ(J12,$J$5:$J$21,0)</f>
        <v>14</v>
      </c>
      <c r="L12" s="9">
        <v>6838572</v>
      </c>
      <c r="M12" s="15">
        <f t="shared" si="0"/>
        <v>15</v>
      </c>
    </row>
    <row r="13" spans="2:13" x14ac:dyDescent="0.2">
      <c r="B13" s="16" t="s">
        <v>8</v>
      </c>
      <c r="C13" s="8"/>
      <c r="D13" s="9">
        <v>14455146</v>
      </c>
      <c r="E13" s="9">
        <f>_xlfn.RANK.EQ(D13,$D$5:$D$21,0)</f>
        <v>5</v>
      </c>
      <c r="F13" s="9">
        <v>5565602</v>
      </c>
      <c r="G13" s="9">
        <f>_xlfn.RANK.EQ(F13,$F$5:$F$21,0)</f>
        <v>5</v>
      </c>
      <c r="H13" s="9">
        <v>22393281</v>
      </c>
      <c r="I13" s="9">
        <f>_xlfn.RANK.EQ(H13,$H$5:$H$21,0)</f>
        <v>3</v>
      </c>
      <c r="J13" s="9">
        <v>20282278</v>
      </c>
      <c r="K13" s="9">
        <f>_xlfn.RANK.EQ(J13,$J$5:$J$21,0)</f>
        <v>5</v>
      </c>
      <c r="L13" s="9">
        <v>10618509</v>
      </c>
      <c r="M13" s="15">
        <f t="shared" si="0"/>
        <v>9</v>
      </c>
    </row>
    <row r="14" spans="2:13" x14ac:dyDescent="0.2">
      <c r="B14" s="16" t="s">
        <v>9</v>
      </c>
      <c r="C14" s="8"/>
      <c r="D14" s="9">
        <v>12796955</v>
      </c>
      <c r="E14" s="9">
        <f>_xlfn.RANK.EQ(D14,$D$5:$D$21,0)</f>
        <v>6</v>
      </c>
      <c r="F14" s="9">
        <v>4413679</v>
      </c>
      <c r="G14" s="9">
        <f>_xlfn.RANK.EQ(F14,$F$5:$F$21,0)</f>
        <v>6</v>
      </c>
      <c r="H14" s="9">
        <v>13824917</v>
      </c>
      <c r="I14" s="9">
        <f>_xlfn.RANK.EQ(H14,$H$5:$H$21,0)</f>
        <v>8</v>
      </c>
      <c r="J14" s="9">
        <v>18701838</v>
      </c>
      <c r="K14" s="9">
        <f>_xlfn.RANK.EQ(J14,$J$5:$J$21,0)</f>
        <v>9</v>
      </c>
      <c r="L14" s="9">
        <v>12196763</v>
      </c>
      <c r="M14" s="15">
        <f t="shared" si="0"/>
        <v>8</v>
      </c>
    </row>
    <row r="15" spans="2:13" x14ac:dyDescent="0.2">
      <c r="B15" s="16" t="s">
        <v>10</v>
      </c>
      <c r="C15" s="8"/>
      <c r="D15" s="9">
        <v>11696886</v>
      </c>
      <c r="E15" s="9">
        <f>_xlfn.RANK.EQ(D15,$D$5:$D$21,0)</f>
        <v>7</v>
      </c>
      <c r="F15" s="9">
        <v>3871214</v>
      </c>
      <c r="G15" s="9">
        <f>_xlfn.RANK.EQ(F15,$F$5:$F$21,0)</f>
        <v>8</v>
      </c>
      <c r="H15" s="9">
        <v>14055371</v>
      </c>
      <c r="I15" s="9">
        <f>_xlfn.RANK.EQ(H15,$H$5:$H$21,0)</f>
        <v>7</v>
      </c>
      <c r="J15" s="9">
        <v>20128537</v>
      </c>
      <c r="K15" s="9">
        <f>_xlfn.RANK.EQ(J15,$J$5:$J$21,0)</f>
        <v>6</v>
      </c>
      <c r="L15" s="9">
        <v>14836301</v>
      </c>
      <c r="M15" s="15">
        <f t="shared" si="0"/>
        <v>6</v>
      </c>
    </row>
    <row r="16" spans="2:13" x14ac:dyDescent="0.2">
      <c r="B16" s="16" t="s">
        <v>11</v>
      </c>
      <c r="C16" s="8"/>
      <c r="D16" s="9">
        <v>11557689</v>
      </c>
      <c r="E16" s="9">
        <f>_xlfn.RANK.EQ(D16,$D$5:$D$21,0)</f>
        <v>9</v>
      </c>
      <c r="F16" s="9">
        <v>3396434</v>
      </c>
      <c r="G16" s="9">
        <f>_xlfn.RANK.EQ(F16,$F$5:$F$21,0)</f>
        <v>10</v>
      </c>
      <c r="H16" s="9">
        <v>18102074</v>
      </c>
      <c r="I16" s="9">
        <f>_xlfn.RANK.EQ(H16,$H$5:$H$21,0)</f>
        <v>6</v>
      </c>
      <c r="J16" s="9">
        <v>19903497</v>
      </c>
      <c r="K16" s="9">
        <f>_xlfn.RANK.EQ(J16,$J$5:$J$21,0)</f>
        <v>8</v>
      </c>
      <c r="L16" s="9">
        <v>13290637</v>
      </c>
      <c r="M16" s="15">
        <f t="shared" si="0"/>
        <v>7</v>
      </c>
    </row>
    <row r="17" spans="2:13" x14ac:dyDescent="0.2">
      <c r="B17" s="16" t="s">
        <v>12</v>
      </c>
      <c r="C17" s="8"/>
      <c r="D17" s="9">
        <v>8379365</v>
      </c>
      <c r="E17" s="9">
        <f>_xlfn.RANK.EQ(D17,$D$5:$D$21,0)</f>
        <v>15</v>
      </c>
      <c r="F17" s="9">
        <v>1886478</v>
      </c>
      <c r="G17" s="9">
        <f>_xlfn.RANK.EQ(F17,$F$5:$F$21,0)</f>
        <v>16</v>
      </c>
      <c r="H17" s="9">
        <v>7320090</v>
      </c>
      <c r="I17" s="9">
        <f>_xlfn.RANK.EQ(H17,$H$5:$H$21,0)</f>
        <v>16</v>
      </c>
      <c r="J17" s="9">
        <v>10927572</v>
      </c>
      <c r="K17" s="9">
        <f>_xlfn.RANK.EQ(J17,$J$5:$J$21,0)</f>
        <v>12</v>
      </c>
      <c r="L17" s="9">
        <v>5868362</v>
      </c>
      <c r="M17" s="15">
        <f t="shared" si="0"/>
        <v>16</v>
      </c>
    </row>
    <row r="18" spans="2:13" x14ac:dyDescent="0.2">
      <c r="B18" s="16" t="s">
        <v>13</v>
      </c>
      <c r="C18" s="8"/>
      <c r="D18" s="9">
        <v>11687133</v>
      </c>
      <c r="E18" s="9">
        <f>_xlfn.RANK.EQ(D18,$D$5:$D$21,0)</f>
        <v>8</v>
      </c>
      <c r="F18" s="9">
        <v>3076169</v>
      </c>
      <c r="G18" s="9">
        <f>_xlfn.RANK.EQ(F18,$F$5:$F$21,0)</f>
        <v>13</v>
      </c>
      <c r="H18" s="9">
        <v>11741571</v>
      </c>
      <c r="I18" s="9">
        <f>_xlfn.RANK.EQ(H18,$H$5:$H$21,0)</f>
        <v>10</v>
      </c>
      <c r="J18" s="9">
        <v>15217435</v>
      </c>
      <c r="K18" s="9">
        <f>_xlfn.RANK.EQ(J18,$J$5:$J$21,0)</f>
        <v>11</v>
      </c>
      <c r="L18" s="9">
        <v>9652606</v>
      </c>
      <c r="M18" s="15">
        <f t="shared" si="0"/>
        <v>11</v>
      </c>
    </row>
    <row r="19" spans="2:13" x14ac:dyDescent="0.2">
      <c r="B19" s="16" t="s">
        <v>14</v>
      </c>
      <c r="C19" s="8"/>
      <c r="D19" s="9">
        <v>11305446</v>
      </c>
      <c r="E19" s="9">
        <f>_xlfn.RANK.EQ(D19,$D$5:$D$21,0)</f>
        <v>10</v>
      </c>
      <c r="F19" s="9">
        <v>4392742</v>
      </c>
      <c r="G19" s="9">
        <f>_xlfn.RANK.EQ(F19,$F$5:$F$21,0)</f>
        <v>7</v>
      </c>
      <c r="H19" s="9">
        <v>10470140</v>
      </c>
      <c r="I19" s="9">
        <f>_xlfn.RANK.EQ(H19,$H$5:$H$21,0)</f>
        <v>12</v>
      </c>
      <c r="J19" s="9">
        <v>9787317</v>
      </c>
      <c r="K19" s="9">
        <f>_xlfn.RANK.EQ(J19,$J$5:$J$21,0)</f>
        <v>13</v>
      </c>
      <c r="L19" s="9">
        <v>8239933</v>
      </c>
      <c r="M19" s="15">
        <f t="shared" si="0"/>
        <v>13</v>
      </c>
    </row>
    <row r="20" spans="2:13" x14ac:dyDescent="0.2">
      <c r="B20" s="16" t="s">
        <v>15</v>
      </c>
      <c r="C20" s="8"/>
      <c r="D20" s="9">
        <v>8198079</v>
      </c>
      <c r="E20" s="9">
        <f>_xlfn.RANK.EQ(D20,$D$5:$D$21,0)</f>
        <v>16</v>
      </c>
      <c r="F20" s="9">
        <v>1938818</v>
      </c>
      <c r="G20" s="9">
        <f>_xlfn.RANK.EQ(F20,$F$5:$F$21,0)</f>
        <v>15</v>
      </c>
      <c r="H20" s="9">
        <v>7913395</v>
      </c>
      <c r="I20" s="9">
        <f>_xlfn.RANK.EQ(H20,$H$5:$H$21,0)</f>
        <v>15</v>
      </c>
      <c r="J20" s="9">
        <v>9492941</v>
      </c>
      <c r="K20" s="9">
        <f>_xlfn.RANK.EQ(J20,$J$5:$J$21,0)</f>
        <v>15</v>
      </c>
      <c r="L20" s="9">
        <v>7431724</v>
      </c>
      <c r="M20" s="15">
        <f t="shared" si="0"/>
        <v>14</v>
      </c>
    </row>
    <row r="21" spans="2:13" x14ac:dyDescent="0.2">
      <c r="B21" s="16" t="s">
        <v>16</v>
      </c>
      <c r="C21" s="8"/>
      <c r="D21" s="9">
        <v>6333850</v>
      </c>
      <c r="E21" s="9">
        <f>_xlfn.RANK.EQ(D21,$D$5:$D$21,0)</f>
        <v>17</v>
      </c>
      <c r="F21" s="9">
        <v>1794916</v>
      </c>
      <c r="G21" s="9">
        <f>_xlfn.RANK.EQ(F21,$F$5:$F$21,0)</f>
        <v>17</v>
      </c>
      <c r="H21" s="9">
        <v>6358323</v>
      </c>
      <c r="I21" s="9">
        <f>_xlfn.RANK.EQ(H21,$H$5:$H$21,0)</f>
        <v>17</v>
      </c>
      <c r="J21" s="9">
        <v>7392401</v>
      </c>
      <c r="K21" s="9">
        <f>_xlfn.RANK.EQ(J21,$J$5:$J$21,0)</f>
        <v>17</v>
      </c>
      <c r="L21" s="9">
        <v>5197555</v>
      </c>
      <c r="M21" s="15">
        <f t="shared" si="0"/>
        <v>17</v>
      </c>
    </row>
    <row r="22" spans="2:13" ht="17" thickBot="1" x14ac:dyDescent="0.25">
      <c r="B22" s="17" t="s">
        <v>17</v>
      </c>
      <c r="C22" s="18"/>
      <c r="D22" s="19">
        <f>SUM(D5:D21)</f>
        <v>534285525</v>
      </c>
      <c r="E22" s="19"/>
      <c r="F22" s="19">
        <f t="shared" ref="F22:L22" si="1">SUM(F5:F21)</f>
        <v>666474289</v>
      </c>
      <c r="G22" s="19"/>
      <c r="H22" s="19">
        <f t="shared" si="1"/>
        <v>685237086</v>
      </c>
      <c r="I22" s="19"/>
      <c r="J22" s="19">
        <f t="shared" si="1"/>
        <v>893121040</v>
      </c>
      <c r="K22" s="19"/>
      <c r="L22" s="19">
        <f t="shared" si="1"/>
        <v>821106746</v>
      </c>
      <c r="M22" s="20"/>
    </row>
    <row r="23" spans="2:13" x14ac:dyDescent="0.2">
      <c r="B23" s="1"/>
      <c r="D23" s="5"/>
      <c r="E23" s="5"/>
      <c r="F23" s="5"/>
      <c r="G23" s="5"/>
      <c r="H23" s="5"/>
      <c r="I23" s="5"/>
      <c r="J23" s="5"/>
      <c r="K23" s="5"/>
      <c r="L23" s="5"/>
    </row>
    <row r="25" spans="2:13" x14ac:dyDescent="0.2">
      <c r="D25" s="3">
        <v>2020</v>
      </c>
      <c r="E25" s="3" t="s">
        <v>19</v>
      </c>
    </row>
    <row r="26" spans="2:13" x14ac:dyDescent="0.2">
      <c r="B26" t="s">
        <v>0</v>
      </c>
      <c r="D26" s="4">
        <v>350425859</v>
      </c>
      <c r="E26" s="4">
        <f>_xlfn.RANK.EQ(D26,$D$5:$D$21,0)</f>
        <v>1</v>
      </c>
    </row>
    <row r="27" spans="2:13" x14ac:dyDescent="0.2">
      <c r="B27" t="s">
        <v>1</v>
      </c>
      <c r="D27" s="4">
        <v>17462536</v>
      </c>
      <c r="E27" s="4">
        <f>_xlfn.RANK.EQ(D27,$D$5:$D$21,0)</f>
        <v>2</v>
      </c>
    </row>
    <row r="28" spans="2:13" x14ac:dyDescent="0.2">
      <c r="B28" t="s">
        <v>5</v>
      </c>
      <c r="D28" s="4">
        <v>16674168</v>
      </c>
      <c r="E28" s="4">
        <f>_xlfn.RANK.EQ(D28,$D$5:$D$21,0)</f>
        <v>3</v>
      </c>
    </row>
    <row r="29" spans="2:13" x14ac:dyDescent="0.2">
      <c r="B29" s="1" t="s">
        <v>6</v>
      </c>
      <c r="D29" s="4">
        <v>16308448</v>
      </c>
      <c r="E29" s="4">
        <f>_xlfn.RANK.EQ(D29,$D$5:$D$21,0)</f>
        <v>4</v>
      </c>
    </row>
    <row r="30" spans="2:13" x14ac:dyDescent="0.2">
      <c r="B30" s="1" t="s">
        <v>8</v>
      </c>
      <c r="D30" s="4">
        <v>14455146</v>
      </c>
      <c r="E30" s="4">
        <f>_xlfn.RANK.EQ(D30,$D$5:$D$21,0)</f>
        <v>5</v>
      </c>
    </row>
    <row r="31" spans="2:13" x14ac:dyDescent="0.2">
      <c r="B31" s="1" t="s">
        <v>9</v>
      </c>
      <c r="D31" s="4">
        <v>12796955</v>
      </c>
      <c r="E31" s="4">
        <f>_xlfn.RANK.EQ(D31,$D$5:$D$21,0)</f>
        <v>6</v>
      </c>
    </row>
    <row r="32" spans="2:13" x14ac:dyDescent="0.2">
      <c r="B32" s="1" t="s">
        <v>10</v>
      </c>
      <c r="D32" s="4">
        <v>11696886</v>
      </c>
      <c r="E32" s="4">
        <f>_xlfn.RANK.EQ(D32,$D$5:$D$21,0)</f>
        <v>7</v>
      </c>
    </row>
    <row r="33" spans="2:5" x14ac:dyDescent="0.2">
      <c r="B33" s="1" t="s">
        <v>13</v>
      </c>
      <c r="D33" s="4">
        <v>11687133</v>
      </c>
      <c r="E33" s="4">
        <f>_xlfn.RANK.EQ(D33,$D$5:$D$21,0)</f>
        <v>8</v>
      </c>
    </row>
    <row r="34" spans="2:5" x14ac:dyDescent="0.2">
      <c r="B34" s="1" t="s">
        <v>11</v>
      </c>
      <c r="D34" s="4">
        <v>11557689</v>
      </c>
      <c r="E34" s="4">
        <f>_xlfn.RANK.EQ(D34,$D$5:$D$21,0)</f>
        <v>9</v>
      </c>
    </row>
    <row r="35" spans="2:5" x14ac:dyDescent="0.2">
      <c r="B35" s="1" t="s">
        <v>14</v>
      </c>
      <c r="D35" s="4">
        <v>11305446</v>
      </c>
      <c r="E35" s="4">
        <f>_xlfn.RANK.EQ(D35,$D$5:$D$21,0)</f>
        <v>10</v>
      </c>
    </row>
    <row r="36" spans="2:5" x14ac:dyDescent="0.2">
      <c r="B36" t="s">
        <v>3</v>
      </c>
      <c r="D36" s="4">
        <v>10105199</v>
      </c>
      <c r="E36" s="4">
        <f>_xlfn.RANK.EQ(D36,$D$5:$D$21,0)</f>
        <v>11</v>
      </c>
    </row>
    <row r="37" spans="2:5" x14ac:dyDescent="0.2">
      <c r="B37" t="s">
        <v>2</v>
      </c>
      <c r="D37" s="4">
        <v>9205701</v>
      </c>
      <c r="E37" s="4">
        <f>_xlfn.RANK.EQ(D37,$D$5:$D$21,0)</f>
        <v>12</v>
      </c>
    </row>
    <row r="38" spans="2:5" x14ac:dyDescent="0.2">
      <c r="B38" s="1" t="s">
        <v>7</v>
      </c>
      <c r="D38" s="4">
        <v>8991688</v>
      </c>
      <c r="E38" s="4">
        <f>_xlfn.RANK.EQ(D38,$D$5:$D$21,0)</f>
        <v>13</v>
      </c>
    </row>
    <row r="39" spans="2:5" x14ac:dyDescent="0.2">
      <c r="B39" t="s">
        <v>4</v>
      </c>
      <c r="D39" s="4">
        <v>8701377</v>
      </c>
      <c r="E39" s="4">
        <f>_xlfn.RANK.EQ(D39,$D$5:$D$21,0)</f>
        <v>14</v>
      </c>
    </row>
    <row r="40" spans="2:5" x14ac:dyDescent="0.2">
      <c r="B40" s="1" t="s">
        <v>12</v>
      </c>
      <c r="D40" s="4">
        <v>8379365</v>
      </c>
      <c r="E40" s="4">
        <f>_xlfn.RANK.EQ(D40,$D$5:$D$21,0)</f>
        <v>15</v>
      </c>
    </row>
    <row r="41" spans="2:5" x14ac:dyDescent="0.2">
      <c r="B41" s="1" t="s">
        <v>15</v>
      </c>
      <c r="D41" s="4">
        <v>8198079</v>
      </c>
      <c r="E41" s="4">
        <f>_xlfn.RANK.EQ(D41,$D$5:$D$21,0)</f>
        <v>16</v>
      </c>
    </row>
    <row r="42" spans="2:5" x14ac:dyDescent="0.2">
      <c r="B42" s="1" t="s">
        <v>16</v>
      </c>
      <c r="D42" s="4">
        <v>6333850</v>
      </c>
      <c r="E42" s="4">
        <f>_xlfn.RANK.EQ(D42,$D$5:$D$21,0)</f>
        <v>17</v>
      </c>
    </row>
    <row r="43" spans="2:5" x14ac:dyDescent="0.2">
      <c r="B43" s="1"/>
      <c r="D43" s="4"/>
      <c r="E43" s="4"/>
    </row>
    <row r="44" spans="2:5" x14ac:dyDescent="0.2">
      <c r="B44" s="1"/>
      <c r="D44" s="3">
        <v>2021</v>
      </c>
      <c r="E44" s="3" t="s">
        <v>19</v>
      </c>
    </row>
    <row r="45" spans="2:5" x14ac:dyDescent="0.2">
      <c r="B45" t="s">
        <v>0</v>
      </c>
      <c r="D45" s="4">
        <v>602471395</v>
      </c>
      <c r="E45" s="4">
        <f>_xlfn.RANK.EQ(D45,$F$5:$F$21,0)</f>
        <v>1</v>
      </c>
    </row>
    <row r="46" spans="2:5" x14ac:dyDescent="0.2">
      <c r="B46" s="1" t="s">
        <v>6</v>
      </c>
      <c r="D46" s="4">
        <v>7871537</v>
      </c>
      <c r="E46" s="4">
        <f>_xlfn.RANK.EQ(D46,$F$5:$F$21,0)</f>
        <v>2</v>
      </c>
    </row>
    <row r="47" spans="2:5" x14ac:dyDescent="0.2">
      <c r="B47" t="s">
        <v>1</v>
      </c>
      <c r="D47" s="4">
        <v>6880826</v>
      </c>
      <c r="E47" s="4">
        <f>_xlfn.RANK.EQ(D47,$F$5:$F$21,0)</f>
        <v>3</v>
      </c>
    </row>
    <row r="48" spans="2:5" x14ac:dyDescent="0.2">
      <c r="B48" t="s">
        <v>5</v>
      </c>
      <c r="D48" s="4">
        <v>6765080</v>
      </c>
      <c r="E48" s="4">
        <f>_xlfn.RANK.EQ(D48,$F$5:$F$21,0)</f>
        <v>4</v>
      </c>
    </row>
    <row r="49" spans="2:9" x14ac:dyDescent="0.2">
      <c r="B49" s="1" t="s">
        <v>8</v>
      </c>
      <c r="D49" s="4">
        <v>5565602</v>
      </c>
      <c r="E49" s="4">
        <f>_xlfn.RANK.EQ(D49,$F$5:$F$21,0)</f>
        <v>5</v>
      </c>
    </row>
    <row r="50" spans="2:9" x14ac:dyDescent="0.2">
      <c r="B50" s="1" t="s">
        <v>9</v>
      </c>
      <c r="D50" s="4">
        <v>4413679</v>
      </c>
      <c r="E50" s="4">
        <f>_xlfn.RANK.EQ(D50,$F$5:$F$21,0)</f>
        <v>6</v>
      </c>
    </row>
    <row r="51" spans="2:9" x14ac:dyDescent="0.2">
      <c r="B51" s="1" t="s">
        <v>14</v>
      </c>
      <c r="D51" s="4">
        <v>4392742</v>
      </c>
      <c r="E51" s="4">
        <f>_xlfn.RANK.EQ(D51,$F$5:$F$21,0)</f>
        <v>7</v>
      </c>
    </row>
    <row r="52" spans="2:9" x14ac:dyDescent="0.2">
      <c r="B52" s="1" t="s">
        <v>10</v>
      </c>
      <c r="D52" s="4">
        <v>3871214</v>
      </c>
      <c r="E52" s="4">
        <f>_xlfn.RANK.EQ(D52,$F$5:$F$21,0)</f>
        <v>8</v>
      </c>
    </row>
    <row r="53" spans="2:9" x14ac:dyDescent="0.2">
      <c r="B53" s="1" t="s">
        <v>7</v>
      </c>
      <c r="D53" s="4">
        <v>3646021</v>
      </c>
      <c r="E53" s="4">
        <f>_xlfn.RANK.EQ(D53,$F$5:$F$21,0)</f>
        <v>9</v>
      </c>
    </row>
    <row r="54" spans="2:9" x14ac:dyDescent="0.2">
      <c r="B54" s="1" t="s">
        <v>11</v>
      </c>
      <c r="D54" s="4">
        <v>3396434</v>
      </c>
      <c r="E54" s="4">
        <f>_xlfn.RANK.EQ(D54,$F$5:$F$21,0)</f>
        <v>10</v>
      </c>
    </row>
    <row r="55" spans="2:9" x14ac:dyDescent="0.2">
      <c r="B55" t="s">
        <v>4</v>
      </c>
      <c r="D55" s="4">
        <v>3221725</v>
      </c>
      <c r="E55" s="4">
        <f>_xlfn.RANK.EQ(D55,$F$5:$F$21,0)</f>
        <v>11</v>
      </c>
    </row>
    <row r="56" spans="2:9" x14ac:dyDescent="0.2">
      <c r="B56" t="s">
        <v>3</v>
      </c>
      <c r="D56" s="4">
        <v>3134623</v>
      </c>
      <c r="E56" s="4">
        <f>_xlfn.RANK.EQ(D56,$F$5:$F$21,0)</f>
        <v>12</v>
      </c>
    </row>
    <row r="57" spans="2:9" x14ac:dyDescent="0.2">
      <c r="B57" s="1" t="s">
        <v>13</v>
      </c>
      <c r="D57" s="4">
        <v>3076169</v>
      </c>
      <c r="E57" s="4">
        <f>_xlfn.RANK.EQ(D57,$F$5:$F$21,0)</f>
        <v>13</v>
      </c>
    </row>
    <row r="58" spans="2:9" x14ac:dyDescent="0.2">
      <c r="B58" t="s">
        <v>2</v>
      </c>
      <c r="D58" s="4">
        <v>2147030</v>
      </c>
      <c r="E58" s="4">
        <f>_xlfn.RANK.EQ(D58,$F$5:$F$21,0)</f>
        <v>14</v>
      </c>
    </row>
    <row r="59" spans="2:9" x14ac:dyDescent="0.2">
      <c r="B59" s="1" t="s">
        <v>15</v>
      </c>
      <c r="D59" s="4">
        <v>1938818</v>
      </c>
      <c r="E59" s="4">
        <f>_xlfn.RANK.EQ(D59,$F$5:$F$21,0)</f>
        <v>15</v>
      </c>
    </row>
    <row r="60" spans="2:9" x14ac:dyDescent="0.2">
      <c r="B60" s="1" t="s">
        <v>12</v>
      </c>
      <c r="D60" s="4">
        <v>1886478</v>
      </c>
      <c r="E60" s="4">
        <f>_xlfn.RANK.EQ(D60,$F$5:$F$21,0)</f>
        <v>16</v>
      </c>
    </row>
    <row r="61" spans="2:9" x14ac:dyDescent="0.2">
      <c r="B61" s="1" t="s">
        <v>16</v>
      </c>
      <c r="D61" s="4">
        <v>1794916</v>
      </c>
      <c r="E61" s="4">
        <f>_xlfn.RANK.EQ(D61,$F$5:$F$21,0)</f>
        <v>17</v>
      </c>
    </row>
    <row r="62" spans="2:9" x14ac:dyDescent="0.2">
      <c r="B62" s="1"/>
      <c r="D62" s="4"/>
      <c r="E62" s="4"/>
    </row>
    <row r="63" spans="2:9" x14ac:dyDescent="0.2">
      <c r="D63" s="3">
        <v>2022</v>
      </c>
      <c r="E63" s="3" t="s">
        <v>19</v>
      </c>
    </row>
    <row r="64" spans="2:9" x14ac:dyDescent="0.2">
      <c r="B64" t="s">
        <v>0</v>
      </c>
      <c r="D64" s="4">
        <v>465067165</v>
      </c>
      <c r="E64" s="4">
        <f>_xlfn.RANK.EQ(D64,$H$5:$H$21,0)</f>
        <v>1</v>
      </c>
      <c r="F64" s="3"/>
      <c r="G64" s="3"/>
      <c r="H64" s="3"/>
      <c r="I64" s="3"/>
    </row>
    <row r="65" spans="2:9" x14ac:dyDescent="0.2">
      <c r="B65" s="1" t="s">
        <v>6</v>
      </c>
      <c r="D65" s="4">
        <v>22453239</v>
      </c>
      <c r="E65" s="4">
        <f>_xlfn.RANK.EQ(D65,$H$5:$H$21,0)</f>
        <v>2</v>
      </c>
      <c r="F65" s="4"/>
      <c r="G65" s="4"/>
      <c r="H65" s="4"/>
      <c r="I65" s="4"/>
    </row>
    <row r="66" spans="2:9" x14ac:dyDescent="0.2">
      <c r="B66" s="1" t="s">
        <v>8</v>
      </c>
      <c r="D66" s="4">
        <v>22393281</v>
      </c>
      <c r="E66" s="4">
        <f>_xlfn.RANK.EQ(D66,$H$5:$H$21,0)</f>
        <v>3</v>
      </c>
      <c r="F66" s="4"/>
      <c r="G66" s="4"/>
      <c r="H66" s="4"/>
      <c r="I66" s="4"/>
    </row>
    <row r="67" spans="2:9" x14ac:dyDescent="0.2">
      <c r="B67" t="s">
        <v>5</v>
      </c>
      <c r="D67" s="4">
        <v>21509389</v>
      </c>
      <c r="E67" s="4">
        <f>_xlfn.RANK.EQ(D67,$H$5:$H$21,0)</f>
        <v>4</v>
      </c>
      <c r="F67" s="4"/>
      <c r="G67" s="4"/>
      <c r="H67" s="4"/>
      <c r="I67" s="4"/>
    </row>
    <row r="68" spans="2:9" x14ac:dyDescent="0.2">
      <c r="B68" t="s">
        <v>1</v>
      </c>
      <c r="D68" s="4">
        <v>20354788</v>
      </c>
      <c r="E68" s="4">
        <f>_xlfn.RANK.EQ(D68,$H$5:$H$21,0)</f>
        <v>5</v>
      </c>
      <c r="F68" s="4"/>
      <c r="G68" s="4"/>
      <c r="H68" s="4"/>
      <c r="I68" s="4"/>
    </row>
    <row r="69" spans="2:9" x14ac:dyDescent="0.2">
      <c r="B69" s="1" t="s">
        <v>11</v>
      </c>
      <c r="D69" s="4">
        <v>18102074</v>
      </c>
      <c r="E69" s="4">
        <f>_xlfn.RANK.EQ(D69,$H$5:$H$21,0)</f>
        <v>6</v>
      </c>
      <c r="F69" s="4"/>
      <c r="G69" s="4"/>
      <c r="H69" s="4"/>
      <c r="I69" s="4"/>
    </row>
    <row r="70" spans="2:9" x14ac:dyDescent="0.2">
      <c r="B70" s="1" t="s">
        <v>10</v>
      </c>
      <c r="D70" s="4">
        <v>14055371</v>
      </c>
      <c r="E70" s="4">
        <f>_xlfn.RANK.EQ(D70,$H$5:$H$21,0)</f>
        <v>7</v>
      </c>
      <c r="F70" s="4"/>
      <c r="G70" s="4"/>
      <c r="H70" s="4"/>
      <c r="I70" s="4"/>
    </row>
    <row r="71" spans="2:9" x14ac:dyDescent="0.2">
      <c r="B71" s="1" t="s">
        <v>9</v>
      </c>
      <c r="D71" s="4">
        <v>13824917</v>
      </c>
      <c r="E71" s="4">
        <f>_xlfn.RANK.EQ(D71,$H$5:$H$21,0)</f>
        <v>8</v>
      </c>
      <c r="F71" s="4"/>
      <c r="G71" s="4"/>
      <c r="H71" s="4"/>
      <c r="I71" s="4"/>
    </row>
    <row r="72" spans="2:9" x14ac:dyDescent="0.2">
      <c r="B72" t="s">
        <v>4</v>
      </c>
      <c r="D72" s="4">
        <v>12428555</v>
      </c>
      <c r="E72" s="4">
        <f>_xlfn.RANK.EQ(D72,$H$5:$H$21,0)</f>
        <v>9</v>
      </c>
      <c r="F72" s="4"/>
      <c r="G72" s="4"/>
      <c r="H72" s="4"/>
      <c r="I72" s="4"/>
    </row>
    <row r="73" spans="2:9" x14ac:dyDescent="0.2">
      <c r="B73" s="1" t="s">
        <v>13</v>
      </c>
      <c r="D73" s="4">
        <v>11741571</v>
      </c>
      <c r="E73" s="4">
        <f>_xlfn.RANK.EQ(D73,$H$5:$H$21,0)</f>
        <v>10</v>
      </c>
      <c r="F73" s="4"/>
      <c r="G73" s="4"/>
      <c r="H73" s="4"/>
      <c r="I73" s="4"/>
    </row>
    <row r="74" spans="2:9" x14ac:dyDescent="0.2">
      <c r="B74" t="s">
        <v>2</v>
      </c>
      <c r="D74" s="4">
        <v>11535787</v>
      </c>
      <c r="E74" s="4">
        <f>_xlfn.RANK.EQ(D74,$H$5:$H$21,0)</f>
        <v>11</v>
      </c>
      <c r="F74" s="4"/>
      <c r="G74" s="4"/>
      <c r="H74" s="4"/>
      <c r="I74" s="4"/>
    </row>
    <row r="75" spans="2:9" x14ac:dyDescent="0.2">
      <c r="B75" s="1" t="s">
        <v>14</v>
      </c>
      <c r="D75" s="4">
        <v>10470140</v>
      </c>
      <c r="E75" s="4">
        <f>_xlfn.RANK.EQ(D75,$H$5:$H$21,0)</f>
        <v>12</v>
      </c>
      <c r="F75" s="4"/>
      <c r="G75" s="4"/>
      <c r="H75" s="4"/>
      <c r="I75" s="4"/>
    </row>
    <row r="76" spans="2:9" x14ac:dyDescent="0.2">
      <c r="B76" t="s">
        <v>3</v>
      </c>
      <c r="D76" s="4">
        <v>9894521</v>
      </c>
      <c r="E76" s="4">
        <f>_xlfn.RANK.EQ(D76,$H$5:$H$21,0)</f>
        <v>13</v>
      </c>
      <c r="F76" s="4"/>
      <c r="G76" s="4"/>
      <c r="H76" s="4"/>
      <c r="I76" s="4"/>
    </row>
    <row r="77" spans="2:9" x14ac:dyDescent="0.2">
      <c r="B77" s="1" t="s">
        <v>7</v>
      </c>
      <c r="D77" s="4">
        <v>9814480</v>
      </c>
      <c r="E77" s="4">
        <f>_xlfn.RANK.EQ(D77,$H$5:$H$21,0)</f>
        <v>14</v>
      </c>
      <c r="F77" s="4"/>
      <c r="G77" s="4"/>
      <c r="H77" s="4"/>
      <c r="I77" s="4"/>
    </row>
    <row r="78" spans="2:9" x14ac:dyDescent="0.2">
      <c r="B78" s="1" t="s">
        <v>15</v>
      </c>
      <c r="D78" s="4">
        <v>7913395</v>
      </c>
      <c r="E78" s="4">
        <f>_xlfn.RANK.EQ(D78,$H$5:$H$21,0)</f>
        <v>15</v>
      </c>
      <c r="F78" s="4"/>
      <c r="G78" s="4"/>
      <c r="H78" s="4"/>
      <c r="I78" s="4"/>
    </row>
    <row r="79" spans="2:9" x14ac:dyDescent="0.2">
      <c r="B79" s="1" t="s">
        <v>12</v>
      </c>
      <c r="D79" s="4">
        <v>7320090</v>
      </c>
      <c r="E79" s="4">
        <f>_xlfn.RANK.EQ(D79,$H$5:$H$21,0)</f>
        <v>16</v>
      </c>
      <c r="F79" s="4"/>
      <c r="G79" s="4"/>
      <c r="H79" s="4"/>
      <c r="I79" s="4"/>
    </row>
    <row r="80" spans="2:9" x14ac:dyDescent="0.2">
      <c r="B80" s="1" t="s">
        <v>16</v>
      </c>
      <c r="D80" s="4">
        <v>6358323</v>
      </c>
      <c r="E80" s="4">
        <f>_xlfn.RANK.EQ(D80,$H$5:$H$21,0)</f>
        <v>17</v>
      </c>
      <c r="F80" s="4"/>
      <c r="G80" s="4"/>
      <c r="H80" s="4"/>
      <c r="I80" s="4"/>
    </row>
    <row r="81" spans="2:9" x14ac:dyDescent="0.2">
      <c r="B81" s="1"/>
      <c r="F81" s="4"/>
      <c r="G81" s="4"/>
      <c r="H81" s="4"/>
      <c r="I81" s="4"/>
    </row>
    <row r="82" spans="2:9" x14ac:dyDescent="0.2">
      <c r="D82" s="3">
        <v>2023</v>
      </c>
      <c r="E82" s="3" t="s">
        <v>19</v>
      </c>
      <c r="F82" s="3"/>
      <c r="G82" s="3"/>
    </row>
    <row r="83" spans="2:9" x14ac:dyDescent="0.2">
      <c r="B83" t="s">
        <v>0</v>
      </c>
      <c r="D83" s="4">
        <v>622503467</v>
      </c>
      <c r="E83" s="4">
        <f>_xlfn.RANK.EQ(D83,$J$5:$J$21,0)</f>
        <v>1</v>
      </c>
      <c r="F83" s="4"/>
      <c r="G83" s="4"/>
    </row>
    <row r="84" spans="2:9" x14ac:dyDescent="0.2">
      <c r="B84" t="s">
        <v>5</v>
      </c>
      <c r="D84" s="4">
        <v>30369998</v>
      </c>
      <c r="E84" s="4">
        <f>_xlfn.RANK.EQ(D84,$J$5:$J$21,0)</f>
        <v>2</v>
      </c>
      <c r="F84" s="4"/>
      <c r="G84" s="4"/>
    </row>
    <row r="85" spans="2:9" x14ac:dyDescent="0.2">
      <c r="B85" s="1" t="s">
        <v>6</v>
      </c>
      <c r="D85" s="4">
        <v>28368300</v>
      </c>
      <c r="E85" s="4">
        <f>_xlfn.RANK.EQ(D85,$J$5:$J$21,0)</f>
        <v>3</v>
      </c>
      <c r="F85" s="4"/>
      <c r="G85" s="4"/>
    </row>
    <row r="86" spans="2:9" x14ac:dyDescent="0.2">
      <c r="B86" t="s">
        <v>1</v>
      </c>
      <c r="D86" s="4">
        <v>23334820</v>
      </c>
      <c r="E86" s="4">
        <f>_xlfn.RANK.EQ(D86,$J$5:$J$21,0)</f>
        <v>4</v>
      </c>
      <c r="F86" s="4"/>
      <c r="G86" s="4"/>
    </row>
    <row r="87" spans="2:9" x14ac:dyDescent="0.2">
      <c r="B87" s="1" t="s">
        <v>8</v>
      </c>
      <c r="D87" s="4">
        <v>20282278</v>
      </c>
      <c r="E87" s="4">
        <f>_xlfn.RANK.EQ(D87,$J$5:$J$21,0)</f>
        <v>5</v>
      </c>
      <c r="F87" s="4"/>
      <c r="G87" s="4"/>
    </row>
    <row r="88" spans="2:9" x14ac:dyDescent="0.2">
      <c r="B88" s="1" t="s">
        <v>10</v>
      </c>
      <c r="D88" s="4">
        <v>20128537</v>
      </c>
      <c r="E88" s="4">
        <f>_xlfn.RANK.EQ(D88,$J$5:$J$21,0)</f>
        <v>6</v>
      </c>
      <c r="F88" s="4"/>
      <c r="G88" s="4"/>
    </row>
    <row r="89" spans="2:9" x14ac:dyDescent="0.2">
      <c r="B89" t="s">
        <v>3</v>
      </c>
      <c r="D89" s="4">
        <v>20053118</v>
      </c>
      <c r="E89" s="4">
        <f>_xlfn.RANK.EQ(D89,$J$5:$J$21,0)</f>
        <v>7</v>
      </c>
      <c r="F89" s="4"/>
      <c r="G89" s="4"/>
    </row>
    <row r="90" spans="2:9" x14ac:dyDescent="0.2">
      <c r="B90" s="1" t="s">
        <v>11</v>
      </c>
      <c r="D90" s="4">
        <v>19903497</v>
      </c>
      <c r="E90" s="4">
        <f>_xlfn.RANK.EQ(D90,$J$5:$J$21,0)</f>
        <v>8</v>
      </c>
      <c r="F90" s="4"/>
      <c r="G90" s="4"/>
    </row>
    <row r="91" spans="2:9" x14ac:dyDescent="0.2">
      <c r="B91" s="1" t="s">
        <v>9</v>
      </c>
      <c r="D91" s="4">
        <v>18701838</v>
      </c>
      <c r="E91" s="4">
        <f>_xlfn.RANK.EQ(D91,$J$5:$J$21,0)</f>
        <v>9</v>
      </c>
      <c r="F91" s="4"/>
      <c r="G91" s="4"/>
    </row>
    <row r="92" spans="2:9" x14ac:dyDescent="0.2">
      <c r="B92" t="s">
        <v>4</v>
      </c>
      <c r="D92" s="4">
        <v>17619062</v>
      </c>
      <c r="E92" s="4">
        <f>_xlfn.RANK.EQ(D92,$J$5:$J$21,0)</f>
        <v>10</v>
      </c>
      <c r="F92" s="4"/>
      <c r="G92" s="4"/>
    </row>
    <row r="93" spans="2:9" x14ac:dyDescent="0.2">
      <c r="B93" s="1" t="s">
        <v>13</v>
      </c>
      <c r="D93" s="4">
        <v>15217435</v>
      </c>
      <c r="E93" s="4">
        <f>_xlfn.RANK.EQ(D93,$J$5:$J$21,0)</f>
        <v>11</v>
      </c>
      <c r="F93" s="4"/>
      <c r="G93" s="4"/>
    </row>
    <row r="94" spans="2:9" x14ac:dyDescent="0.2">
      <c r="B94" s="1" t="s">
        <v>12</v>
      </c>
      <c r="D94" s="4">
        <v>10927572</v>
      </c>
      <c r="E94" s="4">
        <f>_xlfn.RANK.EQ(D94,$J$5:$J$21,0)</f>
        <v>12</v>
      </c>
      <c r="F94" s="4"/>
      <c r="G94" s="4"/>
    </row>
    <row r="95" spans="2:9" x14ac:dyDescent="0.2">
      <c r="B95" s="1" t="s">
        <v>14</v>
      </c>
      <c r="D95" s="4">
        <v>9787317</v>
      </c>
      <c r="E95" s="4">
        <f>_xlfn.RANK.EQ(D95,$J$5:$J$21,0)</f>
        <v>13</v>
      </c>
      <c r="F95" s="4"/>
      <c r="G95" s="4"/>
    </row>
    <row r="96" spans="2:9" x14ac:dyDescent="0.2">
      <c r="B96" s="1" t="s">
        <v>7</v>
      </c>
      <c r="D96" s="4">
        <v>9616692</v>
      </c>
      <c r="E96" s="4">
        <f>_xlfn.RANK.EQ(D96,$J$5:$J$21,0)</f>
        <v>14</v>
      </c>
      <c r="F96" s="4"/>
      <c r="G96" s="4"/>
    </row>
    <row r="97" spans="2:7" x14ac:dyDescent="0.2">
      <c r="B97" s="1" t="s">
        <v>15</v>
      </c>
      <c r="D97" s="4">
        <v>9492941</v>
      </c>
      <c r="E97" s="4">
        <f>_xlfn.RANK.EQ(D97,$J$5:$J$21,0)</f>
        <v>15</v>
      </c>
      <c r="F97" s="4"/>
      <c r="G97" s="4"/>
    </row>
    <row r="98" spans="2:7" x14ac:dyDescent="0.2">
      <c r="B98" t="s">
        <v>2</v>
      </c>
      <c r="D98" s="4">
        <v>9421767</v>
      </c>
      <c r="E98" s="4">
        <f>_xlfn.RANK.EQ(D98,$J$5:$J$21,0)</f>
        <v>16</v>
      </c>
      <c r="F98" s="4"/>
      <c r="G98" s="4"/>
    </row>
    <row r="99" spans="2:7" x14ac:dyDescent="0.2">
      <c r="B99" s="1" t="s">
        <v>16</v>
      </c>
      <c r="D99" s="4">
        <v>7392401</v>
      </c>
      <c r="E99" s="4">
        <f>_xlfn.RANK.EQ(D99,$J$5:$J$21,0)</f>
        <v>17</v>
      </c>
      <c r="F99" s="4"/>
      <c r="G99" s="4"/>
    </row>
    <row r="100" spans="2:7" x14ac:dyDescent="0.2">
      <c r="D100" s="5"/>
      <c r="E100" s="5"/>
      <c r="F100" s="5"/>
    </row>
    <row r="101" spans="2:7" x14ac:dyDescent="0.2">
      <c r="D101" s="3">
        <v>2024</v>
      </c>
      <c r="E101" s="3" t="s">
        <v>19</v>
      </c>
    </row>
    <row r="102" spans="2:7" x14ac:dyDescent="0.2">
      <c r="B102" t="s">
        <v>0</v>
      </c>
      <c r="D102" s="4">
        <v>635307653</v>
      </c>
      <c r="E102" s="4">
        <f>_xlfn.RANK.EQ(D102,$L$5:$L$21,0)</f>
        <v>1</v>
      </c>
    </row>
    <row r="103" spans="2:7" x14ac:dyDescent="0.2">
      <c r="B103" s="1" t="s">
        <v>6</v>
      </c>
      <c r="D103" s="4">
        <v>20124511</v>
      </c>
      <c r="E103" s="4">
        <f>_xlfn.RANK.EQ(D103,$L$5:$L$21,0)</f>
        <v>2</v>
      </c>
    </row>
    <row r="104" spans="2:7" x14ac:dyDescent="0.2">
      <c r="B104" t="s">
        <v>5</v>
      </c>
      <c r="D104" s="4">
        <v>18786522</v>
      </c>
      <c r="E104" s="4">
        <f>_xlfn.RANK.EQ(D104,$L$5:$L$21,0)</f>
        <v>3</v>
      </c>
    </row>
    <row r="105" spans="2:7" x14ac:dyDescent="0.2">
      <c r="B105" t="s">
        <v>1</v>
      </c>
      <c r="D105" s="4">
        <v>17679310</v>
      </c>
      <c r="E105" s="4">
        <f>_xlfn.RANK.EQ(D105,$L$5:$L$21,0)</f>
        <v>4</v>
      </c>
    </row>
    <row r="106" spans="2:7" x14ac:dyDescent="0.2">
      <c r="B106" t="s">
        <v>3</v>
      </c>
      <c r="D106" s="4">
        <v>15432148</v>
      </c>
      <c r="E106" s="4">
        <f>_xlfn.RANK.EQ(D106,$L$5:$L$21,0)</f>
        <v>5</v>
      </c>
    </row>
    <row r="107" spans="2:7" x14ac:dyDescent="0.2">
      <c r="B107" s="1" t="s">
        <v>10</v>
      </c>
      <c r="D107" s="4">
        <v>14836301</v>
      </c>
      <c r="E107" s="4">
        <f>_xlfn.RANK.EQ(D107,$L$5:$L$21,0)</f>
        <v>6</v>
      </c>
    </row>
    <row r="108" spans="2:7" x14ac:dyDescent="0.2">
      <c r="B108" s="1" t="s">
        <v>11</v>
      </c>
      <c r="D108" s="4">
        <v>13290637</v>
      </c>
      <c r="E108" s="4">
        <f>_xlfn.RANK.EQ(D108,$L$5:$L$21,0)</f>
        <v>7</v>
      </c>
    </row>
    <row r="109" spans="2:7" x14ac:dyDescent="0.2">
      <c r="B109" s="1" t="s">
        <v>9</v>
      </c>
      <c r="D109" s="4">
        <v>12196763</v>
      </c>
      <c r="E109" s="4">
        <f>_xlfn.RANK.EQ(D109,$L$5:$L$21,0)</f>
        <v>8</v>
      </c>
    </row>
    <row r="110" spans="2:7" x14ac:dyDescent="0.2">
      <c r="B110" s="1" t="s">
        <v>8</v>
      </c>
      <c r="D110" s="4">
        <v>10618509</v>
      </c>
      <c r="E110" s="4">
        <f>_xlfn.RANK.EQ(D110,$L$5:$L$21,0)</f>
        <v>9</v>
      </c>
    </row>
    <row r="111" spans="2:7" x14ac:dyDescent="0.2">
      <c r="B111" t="s">
        <v>4</v>
      </c>
      <c r="D111" s="4">
        <v>10087458</v>
      </c>
      <c r="E111" s="4">
        <f>_xlfn.RANK.EQ(D111,$L$5:$L$21,0)</f>
        <v>10</v>
      </c>
    </row>
    <row r="112" spans="2:7" x14ac:dyDescent="0.2">
      <c r="B112" s="1" t="s">
        <v>13</v>
      </c>
      <c r="D112" s="4">
        <v>9652606</v>
      </c>
      <c r="E112" s="4">
        <f>_xlfn.RANK.EQ(D112,$L$5:$L$21,0)</f>
        <v>11</v>
      </c>
    </row>
    <row r="113" spans="2:13" x14ac:dyDescent="0.2">
      <c r="B113" t="s">
        <v>2</v>
      </c>
      <c r="D113" s="4">
        <v>9518182</v>
      </c>
      <c r="E113" s="4">
        <f>_xlfn.RANK.EQ(D113,$L$5:$L$21,0)</f>
        <v>12</v>
      </c>
    </row>
    <row r="114" spans="2:13" x14ac:dyDescent="0.2">
      <c r="B114" s="1" t="s">
        <v>14</v>
      </c>
      <c r="D114" s="4">
        <v>8239933</v>
      </c>
      <c r="E114" s="4">
        <f>_xlfn.RANK.EQ(D114,$L$5:$L$21,0)</f>
        <v>13</v>
      </c>
    </row>
    <row r="115" spans="2:13" x14ac:dyDescent="0.2">
      <c r="B115" s="1" t="s">
        <v>15</v>
      </c>
      <c r="D115" s="4">
        <v>7431724</v>
      </c>
      <c r="E115" s="4">
        <f>_xlfn.RANK.EQ(D115,$L$5:$L$21,0)</f>
        <v>14</v>
      </c>
    </row>
    <row r="116" spans="2:13" x14ac:dyDescent="0.2">
      <c r="B116" s="1" t="s">
        <v>7</v>
      </c>
      <c r="D116" s="4">
        <v>6838572</v>
      </c>
      <c r="E116" s="4">
        <f>_xlfn.RANK.EQ(D116,$L$5:$L$21,0)</f>
        <v>15</v>
      </c>
    </row>
    <row r="117" spans="2:13" x14ac:dyDescent="0.2">
      <c r="B117" s="1" t="s">
        <v>12</v>
      </c>
      <c r="D117" s="4">
        <v>5868362</v>
      </c>
      <c r="E117" s="4">
        <f>_xlfn.RANK.EQ(D117,$L$5:$L$21,0)</f>
        <v>16</v>
      </c>
    </row>
    <row r="118" spans="2:13" x14ac:dyDescent="0.2">
      <c r="B118" s="1" t="s">
        <v>16</v>
      </c>
      <c r="D118" s="4">
        <v>5197555</v>
      </c>
      <c r="E118" s="4">
        <f>_xlfn.RANK.EQ(D118,$L$5:$L$21,0)</f>
        <v>17</v>
      </c>
    </row>
    <row r="119" spans="2:13" x14ac:dyDescent="0.2">
      <c r="D119" s="5"/>
    </row>
    <row r="120" spans="2:13" s="7" customFormat="1" x14ac:dyDescent="0.2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2" spans="2:13" x14ac:dyDescent="0.2">
      <c r="B122" s="40" t="s">
        <v>20</v>
      </c>
    </row>
    <row r="123" spans="2:13" ht="17" thickBot="1" x14ac:dyDescent="0.25"/>
    <row r="124" spans="2:13" x14ac:dyDescent="0.2">
      <c r="B124" s="10"/>
      <c r="C124" s="11"/>
      <c r="D124" s="12">
        <v>2020</v>
      </c>
      <c r="E124" s="12" t="s">
        <v>19</v>
      </c>
      <c r="F124" s="12">
        <v>2021</v>
      </c>
      <c r="G124" s="12" t="s">
        <v>19</v>
      </c>
      <c r="H124" s="12">
        <v>2022</v>
      </c>
      <c r="I124" s="12" t="s">
        <v>19</v>
      </c>
      <c r="J124" s="12">
        <v>2023</v>
      </c>
      <c r="K124" s="12" t="s">
        <v>19</v>
      </c>
      <c r="L124" s="12">
        <v>2024</v>
      </c>
      <c r="M124" s="13" t="s">
        <v>19</v>
      </c>
    </row>
    <row r="125" spans="2:13" x14ac:dyDescent="0.2">
      <c r="B125" s="14" t="s">
        <v>1</v>
      </c>
      <c r="C125" s="8"/>
      <c r="D125" s="9">
        <v>17462536</v>
      </c>
      <c r="E125" s="9">
        <f>_xlfn.RANK.EQ(D125,$D$125:$D$140,0)</f>
        <v>1</v>
      </c>
      <c r="F125" s="9">
        <v>6880826</v>
      </c>
      <c r="G125" s="9">
        <f>_xlfn.RANK.EQ(F125,$F$125:$F$140,0)</f>
        <v>2</v>
      </c>
      <c r="H125" s="9">
        <v>20354788</v>
      </c>
      <c r="I125" s="9">
        <f>_xlfn.RANK.EQ(H125,$H$125:$H$140,0)</f>
        <v>4</v>
      </c>
      <c r="J125" s="9">
        <v>23334820</v>
      </c>
      <c r="K125" s="9">
        <f>_xlfn.RANK.EQ(J125,$J$125:$J$140,0)</f>
        <v>3</v>
      </c>
      <c r="L125" s="9">
        <v>17679310</v>
      </c>
      <c r="M125" s="15">
        <f>_xlfn.RANK.EQ(L125,$L$125:$L$140,0)</f>
        <v>3</v>
      </c>
    </row>
    <row r="126" spans="2:13" x14ac:dyDescent="0.2">
      <c r="B126" s="14" t="s">
        <v>2</v>
      </c>
      <c r="C126" s="8"/>
      <c r="D126" s="9">
        <v>9205701</v>
      </c>
      <c r="E126" s="9">
        <f>_xlfn.RANK.EQ(D126,$D$125:$D$140,0)</f>
        <v>11</v>
      </c>
      <c r="F126" s="9">
        <v>2147030</v>
      </c>
      <c r="G126" s="9">
        <f>_xlfn.RANK.EQ(F126,$F$125:$F$140,0)</f>
        <v>13</v>
      </c>
      <c r="H126" s="9">
        <v>11535787</v>
      </c>
      <c r="I126" s="9">
        <f>_xlfn.RANK.EQ(H126,$H$125:$H$140,0)</f>
        <v>10</v>
      </c>
      <c r="J126" s="9">
        <v>9421767</v>
      </c>
      <c r="K126" s="9">
        <f>_xlfn.RANK.EQ(J126,$J$125:$J$140,0)</f>
        <v>15</v>
      </c>
      <c r="L126" s="9">
        <v>9518182</v>
      </c>
      <c r="M126" s="15">
        <f t="shared" ref="M126:M140" si="2">_xlfn.RANK.EQ(L126,$L$125:$L$140,0)</f>
        <v>11</v>
      </c>
    </row>
    <row r="127" spans="2:13" x14ac:dyDescent="0.2">
      <c r="B127" s="14" t="s">
        <v>3</v>
      </c>
      <c r="C127" s="8"/>
      <c r="D127" s="9">
        <v>10105199</v>
      </c>
      <c r="E127" s="9">
        <f>_xlfn.RANK.EQ(D127,$D$125:$D$140,0)</f>
        <v>10</v>
      </c>
      <c r="F127" s="9">
        <v>3134623</v>
      </c>
      <c r="G127" s="9">
        <f>_xlfn.RANK.EQ(F127,$F$125:$F$140,0)</f>
        <v>11</v>
      </c>
      <c r="H127" s="9">
        <v>9894521</v>
      </c>
      <c r="I127" s="9">
        <f>_xlfn.RANK.EQ(H127,$H$125:$H$140,0)</f>
        <v>12</v>
      </c>
      <c r="J127" s="9">
        <v>20053118</v>
      </c>
      <c r="K127" s="9">
        <f>_xlfn.RANK.EQ(J127,$J$125:$J$140,0)</f>
        <v>6</v>
      </c>
      <c r="L127" s="9">
        <v>15432148</v>
      </c>
      <c r="M127" s="15">
        <f t="shared" si="2"/>
        <v>4</v>
      </c>
    </row>
    <row r="128" spans="2:13" x14ac:dyDescent="0.2">
      <c r="B128" s="14" t="s">
        <v>4</v>
      </c>
      <c r="C128" s="8"/>
      <c r="D128" s="9">
        <v>8701377</v>
      </c>
      <c r="E128" s="9">
        <f>_xlfn.RANK.EQ(D128,$D$125:$D$140,0)</f>
        <v>13</v>
      </c>
      <c r="F128" s="9">
        <v>3221725</v>
      </c>
      <c r="G128" s="9">
        <f>_xlfn.RANK.EQ(F128,$F$125:$F$140,0)</f>
        <v>10</v>
      </c>
      <c r="H128" s="9">
        <v>12428555</v>
      </c>
      <c r="I128" s="9">
        <f>_xlfn.RANK.EQ(H128,$H$125:$H$140,0)</f>
        <v>8</v>
      </c>
      <c r="J128" s="9">
        <v>17619062</v>
      </c>
      <c r="K128" s="9">
        <f>_xlfn.RANK.EQ(J128,$J$125:$J$140,0)</f>
        <v>9</v>
      </c>
      <c r="L128" s="9">
        <v>10087458</v>
      </c>
      <c r="M128" s="15">
        <f t="shared" si="2"/>
        <v>9</v>
      </c>
    </row>
    <row r="129" spans="2:13" x14ac:dyDescent="0.2">
      <c r="B129" s="14" t="s">
        <v>5</v>
      </c>
      <c r="C129" s="8"/>
      <c r="D129" s="9">
        <v>16674168</v>
      </c>
      <c r="E129" s="9">
        <f>_xlfn.RANK.EQ(D129,$D$125:$D$140,0)</f>
        <v>2</v>
      </c>
      <c r="F129" s="9">
        <v>6765080</v>
      </c>
      <c r="G129" s="9">
        <f>_xlfn.RANK.EQ(F129,$F$125:$F$140,0)</f>
        <v>3</v>
      </c>
      <c r="H129" s="9">
        <v>21509389</v>
      </c>
      <c r="I129" s="9">
        <f>_xlfn.RANK.EQ(H129,$H$125:$H$140,0)</f>
        <v>3</v>
      </c>
      <c r="J129" s="9">
        <v>30369998</v>
      </c>
      <c r="K129" s="9">
        <f>_xlfn.RANK.EQ(J129,$J$125:$J$140,0)</f>
        <v>1</v>
      </c>
      <c r="L129" s="9">
        <v>18786522</v>
      </c>
      <c r="M129" s="15">
        <f t="shared" si="2"/>
        <v>2</v>
      </c>
    </row>
    <row r="130" spans="2:13" x14ac:dyDescent="0.2">
      <c r="B130" s="16" t="s">
        <v>6</v>
      </c>
      <c r="C130" s="8"/>
      <c r="D130" s="9">
        <v>16308448</v>
      </c>
      <c r="E130" s="9">
        <f>_xlfn.RANK.EQ(D130,$D$125:$D$140,0)</f>
        <v>3</v>
      </c>
      <c r="F130" s="9">
        <v>7871537</v>
      </c>
      <c r="G130" s="9">
        <f>_xlfn.RANK.EQ(F130,$F$125:$F$140,0)</f>
        <v>1</v>
      </c>
      <c r="H130" s="9">
        <v>22453239</v>
      </c>
      <c r="I130" s="9">
        <f>_xlfn.RANK.EQ(H130,$H$125:$H$140,0)</f>
        <v>1</v>
      </c>
      <c r="J130" s="9">
        <v>28368300</v>
      </c>
      <c r="K130" s="9">
        <f>_xlfn.RANK.EQ(J130,$J$125:$J$140,0)</f>
        <v>2</v>
      </c>
      <c r="L130" s="9">
        <v>20124511</v>
      </c>
      <c r="M130" s="15">
        <f t="shared" si="2"/>
        <v>1</v>
      </c>
    </row>
    <row r="131" spans="2:13" x14ac:dyDescent="0.2">
      <c r="B131" s="16" t="s">
        <v>7</v>
      </c>
      <c r="C131" s="8"/>
      <c r="D131" s="9">
        <v>8991688</v>
      </c>
      <c r="E131" s="9">
        <f>_xlfn.RANK.EQ(D131,$D$125:$D$140,0)</f>
        <v>12</v>
      </c>
      <c r="F131" s="9">
        <v>3646021</v>
      </c>
      <c r="G131" s="9">
        <f>_xlfn.RANK.EQ(F131,$F$125:$F$140,0)</f>
        <v>8</v>
      </c>
      <c r="H131" s="9">
        <v>9814480</v>
      </c>
      <c r="I131" s="9">
        <f>_xlfn.RANK.EQ(H131,$H$125:$H$140,0)</f>
        <v>13</v>
      </c>
      <c r="J131" s="9">
        <v>9616692</v>
      </c>
      <c r="K131" s="9">
        <f>_xlfn.RANK.EQ(J131,$J$125:$J$140,0)</f>
        <v>13</v>
      </c>
      <c r="L131" s="9">
        <v>6838572</v>
      </c>
      <c r="M131" s="15">
        <f t="shared" si="2"/>
        <v>14</v>
      </c>
    </row>
    <row r="132" spans="2:13" x14ac:dyDescent="0.2">
      <c r="B132" s="16" t="s">
        <v>8</v>
      </c>
      <c r="C132" s="8"/>
      <c r="D132" s="9">
        <v>14455146</v>
      </c>
      <c r="E132" s="9">
        <f>_xlfn.RANK.EQ(D132,$D$125:$D$140,0)</f>
        <v>4</v>
      </c>
      <c r="F132" s="9">
        <v>5565602</v>
      </c>
      <c r="G132" s="9">
        <f>_xlfn.RANK.EQ(F132,$F$125:$F$140,0)</f>
        <v>4</v>
      </c>
      <c r="H132" s="9">
        <v>22393281</v>
      </c>
      <c r="I132" s="9">
        <f>_xlfn.RANK.EQ(H132,$H$125:$H$140,0)</f>
        <v>2</v>
      </c>
      <c r="J132" s="9">
        <v>20282278</v>
      </c>
      <c r="K132" s="9">
        <f>_xlfn.RANK.EQ(J132,$J$125:$J$140,0)</f>
        <v>4</v>
      </c>
      <c r="L132" s="9">
        <v>10618509</v>
      </c>
      <c r="M132" s="15">
        <f t="shared" si="2"/>
        <v>8</v>
      </c>
    </row>
    <row r="133" spans="2:13" x14ac:dyDescent="0.2">
      <c r="B133" s="16" t="s">
        <v>9</v>
      </c>
      <c r="C133" s="8"/>
      <c r="D133" s="9">
        <v>12796955</v>
      </c>
      <c r="E133" s="9">
        <f>_xlfn.RANK.EQ(D133,$D$125:$D$140,0)</f>
        <v>5</v>
      </c>
      <c r="F133" s="9">
        <v>4413679</v>
      </c>
      <c r="G133" s="9">
        <f>_xlfn.RANK.EQ(F133,$F$125:$F$140,0)</f>
        <v>5</v>
      </c>
      <c r="H133" s="9">
        <v>13824917</v>
      </c>
      <c r="I133" s="9">
        <f>_xlfn.RANK.EQ(H133,$H$125:$H$140,0)</f>
        <v>7</v>
      </c>
      <c r="J133" s="9">
        <v>18701838</v>
      </c>
      <c r="K133" s="9">
        <f>_xlfn.RANK.EQ(J133,$J$125:$J$140,0)</f>
        <v>8</v>
      </c>
      <c r="L133" s="9">
        <v>12196763</v>
      </c>
      <c r="M133" s="15">
        <f t="shared" si="2"/>
        <v>7</v>
      </c>
    </row>
    <row r="134" spans="2:13" x14ac:dyDescent="0.2">
      <c r="B134" s="16" t="s">
        <v>10</v>
      </c>
      <c r="C134" s="8"/>
      <c r="D134" s="9">
        <v>11696886</v>
      </c>
      <c r="E134" s="9">
        <f>_xlfn.RANK.EQ(D134,$D$125:$D$140,0)</f>
        <v>6</v>
      </c>
      <c r="F134" s="9">
        <v>3871214</v>
      </c>
      <c r="G134" s="9">
        <f>_xlfn.RANK.EQ(F134,$F$125:$F$140,0)</f>
        <v>7</v>
      </c>
      <c r="H134" s="9">
        <v>14055371</v>
      </c>
      <c r="I134" s="9">
        <f>_xlfn.RANK.EQ(H134,$H$125:$H$140,0)</f>
        <v>6</v>
      </c>
      <c r="J134" s="9">
        <v>20128537</v>
      </c>
      <c r="K134" s="9">
        <f>_xlfn.RANK.EQ(J134,$J$125:$J$140,0)</f>
        <v>5</v>
      </c>
      <c r="L134" s="9">
        <v>14836301</v>
      </c>
      <c r="M134" s="15">
        <f t="shared" si="2"/>
        <v>5</v>
      </c>
    </row>
    <row r="135" spans="2:13" x14ac:dyDescent="0.2">
      <c r="B135" s="16" t="s">
        <v>11</v>
      </c>
      <c r="C135" s="8"/>
      <c r="D135" s="9">
        <v>11557689</v>
      </c>
      <c r="E135" s="9">
        <f>_xlfn.RANK.EQ(D135,$D$125:$D$140,0)</f>
        <v>8</v>
      </c>
      <c r="F135" s="9">
        <v>3396434</v>
      </c>
      <c r="G135" s="9">
        <f>_xlfn.RANK.EQ(F135,$F$125:$F$140,0)</f>
        <v>9</v>
      </c>
      <c r="H135" s="9">
        <v>18102074</v>
      </c>
      <c r="I135" s="9">
        <f>_xlfn.RANK.EQ(H135,$H$125:$H$140,0)</f>
        <v>5</v>
      </c>
      <c r="J135" s="9">
        <v>19903497</v>
      </c>
      <c r="K135" s="9">
        <f>_xlfn.RANK.EQ(J135,$J$125:$J$140,0)</f>
        <v>7</v>
      </c>
      <c r="L135" s="9">
        <v>13290637</v>
      </c>
      <c r="M135" s="15">
        <f t="shared" si="2"/>
        <v>6</v>
      </c>
    </row>
    <row r="136" spans="2:13" x14ac:dyDescent="0.2">
      <c r="B136" s="16" t="s">
        <v>12</v>
      </c>
      <c r="C136" s="8"/>
      <c r="D136" s="9">
        <v>8379365</v>
      </c>
      <c r="E136" s="9">
        <f>_xlfn.RANK.EQ(D136,$D$125:$D$140,0)</f>
        <v>14</v>
      </c>
      <c r="F136" s="9">
        <v>1886478</v>
      </c>
      <c r="G136" s="9">
        <f>_xlfn.RANK.EQ(F136,$F$125:$F$140,0)</f>
        <v>15</v>
      </c>
      <c r="H136" s="9">
        <v>7320090</v>
      </c>
      <c r="I136" s="9">
        <f>_xlfn.RANK.EQ(H136,$H$125:$H$140,0)</f>
        <v>15</v>
      </c>
      <c r="J136" s="9">
        <v>10927572</v>
      </c>
      <c r="K136" s="9">
        <f>_xlfn.RANK.EQ(J136,$J$125:$J$140,0)</f>
        <v>11</v>
      </c>
      <c r="L136" s="9">
        <v>5868362</v>
      </c>
      <c r="M136" s="15">
        <f t="shared" si="2"/>
        <v>15</v>
      </c>
    </row>
    <row r="137" spans="2:13" x14ac:dyDescent="0.2">
      <c r="B137" s="16" t="s">
        <v>13</v>
      </c>
      <c r="C137" s="8"/>
      <c r="D137" s="9">
        <v>11687133</v>
      </c>
      <c r="E137" s="9">
        <f>_xlfn.RANK.EQ(D137,$D$125:$D$140,0)</f>
        <v>7</v>
      </c>
      <c r="F137" s="9">
        <v>3076169</v>
      </c>
      <c r="G137" s="9">
        <f>_xlfn.RANK.EQ(F137,$F$125:$F$140,0)</f>
        <v>12</v>
      </c>
      <c r="H137" s="9">
        <v>11741571</v>
      </c>
      <c r="I137" s="9">
        <f>_xlfn.RANK.EQ(H137,$H$125:$H$140,0)</f>
        <v>9</v>
      </c>
      <c r="J137" s="9">
        <v>15217435</v>
      </c>
      <c r="K137" s="9">
        <f>_xlfn.RANK.EQ(J137,$J$125:$J$140,0)</f>
        <v>10</v>
      </c>
      <c r="L137" s="9">
        <v>9652606</v>
      </c>
      <c r="M137" s="15">
        <f t="shared" si="2"/>
        <v>10</v>
      </c>
    </row>
    <row r="138" spans="2:13" x14ac:dyDescent="0.2">
      <c r="B138" s="16" t="s">
        <v>14</v>
      </c>
      <c r="C138" s="8"/>
      <c r="D138" s="9">
        <v>11305446</v>
      </c>
      <c r="E138" s="9">
        <f>_xlfn.RANK.EQ(D138,$D$125:$D$140,0)</f>
        <v>9</v>
      </c>
      <c r="F138" s="9">
        <v>4392742</v>
      </c>
      <c r="G138" s="9">
        <f>_xlfn.RANK.EQ(F138,$F$125:$F$140,0)</f>
        <v>6</v>
      </c>
      <c r="H138" s="9">
        <v>10470140</v>
      </c>
      <c r="I138" s="9">
        <f>_xlfn.RANK.EQ(H138,$H$125:$H$140,0)</f>
        <v>11</v>
      </c>
      <c r="J138" s="9">
        <v>9787317</v>
      </c>
      <c r="K138" s="9">
        <f>_xlfn.RANK.EQ(J138,$J$125:$J$140,0)</f>
        <v>12</v>
      </c>
      <c r="L138" s="9">
        <v>8239933</v>
      </c>
      <c r="M138" s="15">
        <f t="shared" si="2"/>
        <v>12</v>
      </c>
    </row>
    <row r="139" spans="2:13" x14ac:dyDescent="0.2">
      <c r="B139" s="16" t="s">
        <v>15</v>
      </c>
      <c r="C139" s="8"/>
      <c r="D139" s="9">
        <v>8198079</v>
      </c>
      <c r="E139" s="9">
        <f>_xlfn.RANK.EQ(D139,$D$125:$D$140,0)</f>
        <v>15</v>
      </c>
      <c r="F139" s="9">
        <v>1938818</v>
      </c>
      <c r="G139" s="9">
        <f>_xlfn.RANK.EQ(F139,$F$125:$F$140,0)</f>
        <v>14</v>
      </c>
      <c r="H139" s="9">
        <v>7913395</v>
      </c>
      <c r="I139" s="9">
        <f>_xlfn.RANK.EQ(H139,$H$125:$H$140,0)</f>
        <v>14</v>
      </c>
      <c r="J139" s="9">
        <v>9492941</v>
      </c>
      <c r="K139" s="9">
        <f>_xlfn.RANK.EQ(J139,$J$125:$J$140,0)</f>
        <v>14</v>
      </c>
      <c r="L139" s="9">
        <v>7431724</v>
      </c>
      <c r="M139" s="15">
        <f t="shared" si="2"/>
        <v>13</v>
      </c>
    </row>
    <row r="140" spans="2:13" ht="17" thickBot="1" x14ac:dyDescent="0.25">
      <c r="B140" s="17" t="s">
        <v>16</v>
      </c>
      <c r="C140" s="18"/>
      <c r="D140" s="23">
        <v>6333850</v>
      </c>
      <c r="E140" s="23">
        <f>_xlfn.RANK.EQ(D140,$D$125:$D$140,0)</f>
        <v>16</v>
      </c>
      <c r="F140" s="23">
        <v>1794916</v>
      </c>
      <c r="G140" s="23">
        <f>_xlfn.RANK.EQ(F140,$F$125:$F$140,0)</f>
        <v>16</v>
      </c>
      <c r="H140" s="23">
        <v>6358323</v>
      </c>
      <c r="I140" s="23">
        <f>_xlfn.RANK.EQ(H140,$H$125:$H$140,0)</f>
        <v>16</v>
      </c>
      <c r="J140" s="23">
        <v>7392401</v>
      </c>
      <c r="K140" s="23">
        <f>_xlfn.RANK.EQ(J140,$J$125:$J$140,0)</f>
        <v>16</v>
      </c>
      <c r="L140" s="23">
        <v>5197555</v>
      </c>
      <c r="M140" s="41">
        <f t="shared" si="2"/>
        <v>16</v>
      </c>
    </row>
    <row r="142" spans="2:13" x14ac:dyDescent="0.2">
      <c r="B142" s="8"/>
      <c r="C142" s="8"/>
      <c r="D142" s="43">
        <v>2020</v>
      </c>
      <c r="E142" s="43" t="s">
        <v>19</v>
      </c>
      <c r="F142" s="8"/>
      <c r="G142" s="8"/>
    </row>
    <row r="143" spans="2:13" x14ac:dyDescent="0.2">
      <c r="B143" s="8" t="s">
        <v>1</v>
      </c>
      <c r="C143" s="8"/>
      <c r="D143" s="9">
        <v>17462536</v>
      </c>
      <c r="E143" s="9">
        <f>_xlfn.RANK.EQ(D143,$D$125:$D$140,0)</f>
        <v>1</v>
      </c>
      <c r="F143" s="8"/>
      <c r="G143" s="8"/>
    </row>
    <row r="144" spans="2:13" x14ac:dyDescent="0.2">
      <c r="B144" s="8" t="s">
        <v>5</v>
      </c>
      <c r="C144" s="8"/>
      <c r="D144" s="9">
        <v>16674168</v>
      </c>
      <c r="E144" s="9">
        <f>_xlfn.RANK.EQ(D144,$D$125:$D$140,0)</f>
        <v>2</v>
      </c>
      <c r="F144" s="8"/>
      <c r="G144" s="8"/>
    </row>
    <row r="145" spans="2:7" x14ac:dyDescent="0.2">
      <c r="B145" s="44" t="s">
        <v>6</v>
      </c>
      <c r="C145" s="8"/>
      <c r="D145" s="9">
        <v>16308448</v>
      </c>
      <c r="E145" s="9">
        <f>_xlfn.RANK.EQ(D145,$D$125:$D$140,0)</f>
        <v>3</v>
      </c>
      <c r="F145" s="8"/>
      <c r="G145" s="8"/>
    </row>
    <row r="146" spans="2:7" x14ac:dyDescent="0.2">
      <c r="B146" s="44" t="s">
        <v>8</v>
      </c>
      <c r="C146" s="8"/>
      <c r="D146" s="9">
        <v>14455146</v>
      </c>
      <c r="E146" s="9">
        <f>_xlfn.RANK.EQ(D146,$D$125:$D$140,0)</f>
        <v>4</v>
      </c>
      <c r="F146" s="8"/>
      <c r="G146" s="8"/>
    </row>
    <row r="147" spans="2:7" x14ac:dyDescent="0.2">
      <c r="B147" s="44" t="s">
        <v>9</v>
      </c>
      <c r="C147" s="8"/>
      <c r="D147" s="9">
        <v>12796955</v>
      </c>
      <c r="E147" s="9">
        <f>_xlfn.RANK.EQ(D147,$D$125:$D$140,0)</f>
        <v>5</v>
      </c>
      <c r="F147" s="8"/>
      <c r="G147" s="8"/>
    </row>
    <row r="148" spans="2:7" x14ac:dyDescent="0.2">
      <c r="B148" s="44" t="s">
        <v>10</v>
      </c>
      <c r="C148" s="8"/>
      <c r="D148" s="9">
        <v>11696886</v>
      </c>
      <c r="E148" s="9">
        <f>_xlfn.RANK.EQ(D148,$D$125:$D$140,0)</f>
        <v>6</v>
      </c>
      <c r="F148" s="8"/>
      <c r="G148" s="8"/>
    </row>
    <row r="149" spans="2:7" x14ac:dyDescent="0.2">
      <c r="B149" s="44" t="s">
        <v>13</v>
      </c>
      <c r="C149" s="8"/>
      <c r="D149" s="9">
        <v>11687133</v>
      </c>
      <c r="E149" s="9">
        <f>_xlfn.RANK.EQ(D149,$D$125:$D$140,0)</f>
        <v>7</v>
      </c>
      <c r="F149" s="8"/>
      <c r="G149" s="8"/>
    </row>
    <row r="150" spans="2:7" x14ac:dyDescent="0.2">
      <c r="B150" s="44" t="s">
        <v>11</v>
      </c>
      <c r="C150" s="8"/>
      <c r="D150" s="9">
        <v>11557689</v>
      </c>
      <c r="E150" s="9">
        <f>_xlfn.RANK.EQ(D150,$D$125:$D$140,0)</f>
        <v>8</v>
      </c>
      <c r="F150" s="8"/>
      <c r="G150" s="8"/>
    </row>
    <row r="151" spans="2:7" x14ac:dyDescent="0.2">
      <c r="B151" s="44" t="s">
        <v>14</v>
      </c>
      <c r="C151" s="8"/>
      <c r="D151" s="9">
        <v>11305446</v>
      </c>
      <c r="E151" s="9">
        <f>_xlfn.RANK.EQ(D151,$D$125:$D$140,0)</f>
        <v>9</v>
      </c>
      <c r="F151" s="8"/>
      <c r="G151" s="8"/>
    </row>
    <row r="152" spans="2:7" x14ac:dyDescent="0.2">
      <c r="B152" s="8" t="s">
        <v>3</v>
      </c>
      <c r="C152" s="8"/>
      <c r="D152" s="9">
        <v>10105199</v>
      </c>
      <c r="E152" s="9">
        <f>_xlfn.RANK.EQ(D152,$D$125:$D$140,0)</f>
        <v>10</v>
      </c>
      <c r="F152" s="8"/>
      <c r="G152" s="8"/>
    </row>
    <row r="153" spans="2:7" x14ac:dyDescent="0.2">
      <c r="B153" s="8" t="s">
        <v>2</v>
      </c>
      <c r="C153" s="8"/>
      <c r="D153" s="9">
        <v>9205701</v>
      </c>
      <c r="E153" s="9">
        <f>_xlfn.RANK.EQ(D153,$D$125:$D$140,0)</f>
        <v>11</v>
      </c>
      <c r="F153" s="8"/>
      <c r="G153" s="8"/>
    </row>
    <row r="154" spans="2:7" x14ac:dyDescent="0.2">
      <c r="B154" s="44" t="s">
        <v>7</v>
      </c>
      <c r="C154" s="8"/>
      <c r="D154" s="9">
        <v>8991688</v>
      </c>
      <c r="E154" s="9">
        <f>_xlfn.RANK.EQ(D154,$D$125:$D$140,0)</f>
        <v>12</v>
      </c>
      <c r="F154" s="8"/>
      <c r="G154" s="8"/>
    </row>
    <row r="155" spans="2:7" x14ac:dyDescent="0.2">
      <c r="B155" s="8" t="s">
        <v>4</v>
      </c>
      <c r="C155" s="8"/>
      <c r="D155" s="9">
        <v>8701377</v>
      </c>
      <c r="E155" s="9">
        <f>_xlfn.RANK.EQ(D155,$D$125:$D$140,0)</f>
        <v>13</v>
      </c>
      <c r="F155" s="8"/>
      <c r="G155" s="8"/>
    </row>
    <row r="156" spans="2:7" x14ac:dyDescent="0.2">
      <c r="B156" s="44" t="s">
        <v>12</v>
      </c>
      <c r="C156" s="8"/>
      <c r="D156" s="9">
        <v>8379365</v>
      </c>
      <c r="E156" s="9">
        <f>_xlfn.RANK.EQ(D156,$D$125:$D$140,0)</f>
        <v>14</v>
      </c>
      <c r="F156" s="8"/>
      <c r="G156" s="8"/>
    </row>
    <row r="157" spans="2:7" x14ac:dyDescent="0.2">
      <c r="B157" s="44" t="s">
        <v>15</v>
      </c>
      <c r="C157" s="8"/>
      <c r="D157" s="9">
        <v>8198079</v>
      </c>
      <c r="E157" s="9">
        <f>_xlfn.RANK.EQ(D157,$D$125:$D$140,0)</f>
        <v>15</v>
      </c>
      <c r="F157" s="8"/>
      <c r="G157" s="8"/>
    </row>
    <row r="158" spans="2:7" x14ac:dyDescent="0.2">
      <c r="B158" s="44" t="s">
        <v>16</v>
      </c>
      <c r="C158" s="8"/>
      <c r="D158" s="9">
        <v>6333850</v>
      </c>
      <c r="E158" s="9">
        <f>_xlfn.RANK.EQ(D158,$D$125:$D$140,0)</f>
        <v>16</v>
      </c>
      <c r="F158" s="8"/>
      <c r="G158" s="8"/>
    </row>
    <row r="159" spans="2:7" x14ac:dyDescent="0.2">
      <c r="B159" s="8"/>
      <c r="C159" s="8"/>
      <c r="D159" s="8"/>
      <c r="E159" s="8"/>
      <c r="F159" s="8"/>
      <c r="G159" s="8"/>
    </row>
    <row r="160" spans="2:7" x14ac:dyDescent="0.2">
      <c r="B160" s="8"/>
      <c r="C160" s="8"/>
      <c r="D160" s="43">
        <v>2021</v>
      </c>
      <c r="E160" s="43" t="s">
        <v>19</v>
      </c>
      <c r="F160" s="8"/>
      <c r="G160" s="8"/>
    </row>
    <row r="161" spans="2:7" x14ac:dyDescent="0.2">
      <c r="B161" s="44" t="s">
        <v>6</v>
      </c>
      <c r="C161" s="8"/>
      <c r="D161" s="9">
        <v>7871537</v>
      </c>
      <c r="E161" s="9">
        <f>_xlfn.RANK.EQ(D161,$F$125:$F$140,0)</f>
        <v>1</v>
      </c>
      <c r="F161" s="8"/>
      <c r="G161" s="8"/>
    </row>
    <row r="162" spans="2:7" x14ac:dyDescent="0.2">
      <c r="B162" s="8" t="s">
        <v>1</v>
      </c>
      <c r="C162" s="8"/>
      <c r="D162" s="9">
        <v>6880826</v>
      </c>
      <c r="E162" s="9">
        <f>_xlfn.RANK.EQ(D162,$F$125:$F$140,0)</f>
        <v>2</v>
      </c>
      <c r="F162" s="8"/>
      <c r="G162" s="8"/>
    </row>
    <row r="163" spans="2:7" x14ac:dyDescent="0.2">
      <c r="B163" s="8" t="s">
        <v>5</v>
      </c>
      <c r="C163" s="8"/>
      <c r="D163" s="9">
        <v>6765080</v>
      </c>
      <c r="E163" s="9">
        <f>_xlfn.RANK.EQ(D163,$F$125:$F$140,0)</f>
        <v>3</v>
      </c>
      <c r="F163" s="8"/>
      <c r="G163" s="8"/>
    </row>
    <row r="164" spans="2:7" x14ac:dyDescent="0.2">
      <c r="B164" s="44" t="s">
        <v>8</v>
      </c>
      <c r="C164" s="8"/>
      <c r="D164" s="9">
        <v>5565602</v>
      </c>
      <c r="E164" s="9">
        <f>_xlfn.RANK.EQ(D164,$F$125:$F$140,0)</f>
        <v>4</v>
      </c>
      <c r="F164" s="8"/>
      <c r="G164" s="8"/>
    </row>
    <row r="165" spans="2:7" x14ac:dyDescent="0.2">
      <c r="B165" s="44" t="s">
        <v>9</v>
      </c>
      <c r="C165" s="8"/>
      <c r="D165" s="9">
        <v>4413679</v>
      </c>
      <c r="E165" s="9">
        <f>_xlfn.RANK.EQ(D165,$F$125:$F$140,0)</f>
        <v>5</v>
      </c>
      <c r="F165" s="8"/>
      <c r="G165" s="8"/>
    </row>
    <row r="166" spans="2:7" x14ac:dyDescent="0.2">
      <c r="B166" s="44" t="s">
        <v>14</v>
      </c>
      <c r="C166" s="8"/>
      <c r="D166" s="9">
        <v>4392742</v>
      </c>
      <c r="E166" s="9">
        <f>_xlfn.RANK.EQ(D166,$F$125:$F$140,0)</f>
        <v>6</v>
      </c>
      <c r="F166" s="8"/>
      <c r="G166" s="8"/>
    </row>
    <row r="167" spans="2:7" x14ac:dyDescent="0.2">
      <c r="B167" s="44" t="s">
        <v>10</v>
      </c>
      <c r="C167" s="8"/>
      <c r="D167" s="9">
        <v>3871214</v>
      </c>
      <c r="E167" s="9">
        <f>_xlfn.RANK.EQ(D167,$F$125:$F$140,0)</f>
        <v>7</v>
      </c>
      <c r="F167" s="8"/>
      <c r="G167" s="8"/>
    </row>
    <row r="168" spans="2:7" x14ac:dyDescent="0.2">
      <c r="B168" s="44" t="s">
        <v>7</v>
      </c>
      <c r="C168" s="8"/>
      <c r="D168" s="9">
        <v>3646021</v>
      </c>
      <c r="E168" s="9">
        <f>_xlfn.RANK.EQ(D168,$F$125:$F$140,0)</f>
        <v>8</v>
      </c>
      <c r="F168" s="8"/>
      <c r="G168" s="8"/>
    </row>
    <row r="169" spans="2:7" x14ac:dyDescent="0.2">
      <c r="B169" s="44" t="s">
        <v>11</v>
      </c>
      <c r="C169" s="8"/>
      <c r="D169" s="9">
        <v>3396434</v>
      </c>
      <c r="E169" s="9">
        <f>_xlfn.RANK.EQ(D169,$F$125:$F$140,0)</f>
        <v>9</v>
      </c>
      <c r="F169" s="8"/>
      <c r="G169" s="8"/>
    </row>
    <row r="170" spans="2:7" x14ac:dyDescent="0.2">
      <c r="B170" s="8" t="s">
        <v>4</v>
      </c>
      <c r="C170" s="8"/>
      <c r="D170" s="9">
        <v>3221725</v>
      </c>
      <c r="E170" s="9">
        <f>_xlfn.RANK.EQ(D170,$F$125:$F$140,0)</f>
        <v>10</v>
      </c>
      <c r="F170" s="8"/>
      <c r="G170" s="8"/>
    </row>
    <row r="171" spans="2:7" x14ac:dyDescent="0.2">
      <c r="B171" s="8" t="s">
        <v>3</v>
      </c>
      <c r="C171" s="8"/>
      <c r="D171" s="9">
        <v>3134623</v>
      </c>
      <c r="E171" s="9">
        <f>_xlfn.RANK.EQ(D171,$F$125:$F$140,0)</f>
        <v>11</v>
      </c>
      <c r="F171" s="8"/>
      <c r="G171" s="8"/>
    </row>
    <row r="172" spans="2:7" x14ac:dyDescent="0.2">
      <c r="B172" s="44" t="s">
        <v>13</v>
      </c>
      <c r="C172" s="8"/>
      <c r="D172" s="9">
        <v>3076169</v>
      </c>
      <c r="E172" s="9">
        <f>_xlfn.RANK.EQ(D172,$F$125:$F$140,0)</f>
        <v>12</v>
      </c>
      <c r="F172" s="8"/>
      <c r="G172" s="8"/>
    </row>
    <row r="173" spans="2:7" x14ac:dyDescent="0.2">
      <c r="B173" s="8" t="s">
        <v>2</v>
      </c>
      <c r="C173" s="8"/>
      <c r="D173" s="9">
        <v>2147030</v>
      </c>
      <c r="E173" s="9">
        <f>_xlfn.RANK.EQ(D173,$F$125:$F$140,0)</f>
        <v>13</v>
      </c>
      <c r="F173" s="8"/>
      <c r="G173" s="8"/>
    </row>
    <row r="174" spans="2:7" x14ac:dyDescent="0.2">
      <c r="B174" s="44" t="s">
        <v>15</v>
      </c>
      <c r="C174" s="8"/>
      <c r="D174" s="9">
        <v>1938818</v>
      </c>
      <c r="E174" s="9">
        <f>_xlfn.RANK.EQ(D174,$F$125:$F$140,0)</f>
        <v>14</v>
      </c>
      <c r="F174" s="8"/>
      <c r="G174" s="8"/>
    </row>
    <row r="175" spans="2:7" x14ac:dyDescent="0.2">
      <c r="B175" s="44" t="s">
        <v>12</v>
      </c>
      <c r="C175" s="8"/>
      <c r="D175" s="9">
        <v>1886478</v>
      </c>
      <c r="E175" s="9">
        <f>_xlfn.RANK.EQ(D175,$F$125:$F$140,0)</f>
        <v>15</v>
      </c>
      <c r="F175" s="8"/>
      <c r="G175" s="8"/>
    </row>
    <row r="176" spans="2:7" x14ac:dyDescent="0.2">
      <c r="B176" s="44" t="s">
        <v>16</v>
      </c>
      <c r="C176" s="8"/>
      <c r="D176" s="9">
        <v>1794916</v>
      </c>
      <c r="E176" s="9">
        <f>_xlfn.RANK.EQ(D176,$F$125:$F$140,0)</f>
        <v>16</v>
      </c>
      <c r="F176" s="8"/>
      <c r="G176" s="8"/>
    </row>
    <row r="177" spans="2:7" x14ac:dyDescent="0.2">
      <c r="B177" s="8"/>
      <c r="C177" s="8"/>
      <c r="D177" s="8"/>
      <c r="E177" s="8"/>
      <c r="F177" s="8"/>
      <c r="G177" s="8"/>
    </row>
    <row r="178" spans="2:7" x14ac:dyDescent="0.2">
      <c r="B178" s="8"/>
      <c r="C178" s="8"/>
      <c r="D178" s="43">
        <v>2022</v>
      </c>
      <c r="E178" s="43" t="s">
        <v>19</v>
      </c>
      <c r="F178" s="8"/>
      <c r="G178" s="8"/>
    </row>
    <row r="179" spans="2:7" x14ac:dyDescent="0.2">
      <c r="B179" s="44" t="s">
        <v>6</v>
      </c>
      <c r="C179" s="8"/>
      <c r="D179" s="9">
        <v>22453239</v>
      </c>
      <c r="E179" s="9">
        <f>_xlfn.RANK.EQ(D179,$H$125:$H$140,0)</f>
        <v>1</v>
      </c>
      <c r="F179" s="8"/>
      <c r="G179" s="8"/>
    </row>
    <row r="180" spans="2:7" x14ac:dyDescent="0.2">
      <c r="B180" s="44" t="s">
        <v>8</v>
      </c>
      <c r="C180" s="8"/>
      <c r="D180" s="9">
        <v>22393281</v>
      </c>
      <c r="E180" s="9">
        <f>_xlfn.RANK.EQ(D180,$H$125:$H$140,0)</f>
        <v>2</v>
      </c>
      <c r="F180" s="8"/>
      <c r="G180" s="8"/>
    </row>
    <row r="181" spans="2:7" x14ac:dyDescent="0.2">
      <c r="B181" s="8" t="s">
        <v>5</v>
      </c>
      <c r="C181" s="8"/>
      <c r="D181" s="9">
        <v>21509389</v>
      </c>
      <c r="E181" s="9">
        <f>_xlfn.RANK.EQ(D181,$H$125:$H$140,0)</f>
        <v>3</v>
      </c>
      <c r="F181" s="8"/>
      <c r="G181" s="8"/>
    </row>
    <row r="182" spans="2:7" x14ac:dyDescent="0.2">
      <c r="B182" s="8" t="s">
        <v>1</v>
      </c>
      <c r="C182" s="8"/>
      <c r="D182" s="9">
        <v>20354788</v>
      </c>
      <c r="E182" s="9">
        <f>_xlfn.RANK.EQ(D182,$H$125:$H$140,0)</f>
        <v>4</v>
      </c>
      <c r="F182" s="8"/>
      <c r="G182" s="8"/>
    </row>
    <row r="183" spans="2:7" x14ac:dyDescent="0.2">
      <c r="B183" s="44" t="s">
        <v>11</v>
      </c>
      <c r="C183" s="8"/>
      <c r="D183" s="9">
        <v>18102074</v>
      </c>
      <c r="E183" s="9">
        <f>_xlfn.RANK.EQ(D183,$H$125:$H$140,0)</f>
        <v>5</v>
      </c>
      <c r="F183" s="8"/>
      <c r="G183" s="8"/>
    </row>
    <row r="184" spans="2:7" x14ac:dyDescent="0.2">
      <c r="B184" s="44" t="s">
        <v>10</v>
      </c>
      <c r="C184" s="8"/>
      <c r="D184" s="9">
        <v>14055371</v>
      </c>
      <c r="E184" s="9">
        <f>_xlfn.RANK.EQ(D184,$H$125:$H$140,0)</f>
        <v>6</v>
      </c>
      <c r="F184" s="8"/>
      <c r="G184" s="8"/>
    </row>
    <row r="185" spans="2:7" x14ac:dyDescent="0.2">
      <c r="B185" s="44" t="s">
        <v>9</v>
      </c>
      <c r="C185" s="8"/>
      <c r="D185" s="9">
        <v>13824917</v>
      </c>
      <c r="E185" s="9">
        <f>_xlfn.RANK.EQ(D185,$H$125:$H$140,0)</f>
        <v>7</v>
      </c>
      <c r="F185" s="8"/>
      <c r="G185" s="8"/>
    </row>
    <row r="186" spans="2:7" x14ac:dyDescent="0.2">
      <c r="B186" s="8" t="s">
        <v>4</v>
      </c>
      <c r="C186" s="8"/>
      <c r="D186" s="9">
        <v>12428555</v>
      </c>
      <c r="E186" s="9">
        <f>_xlfn.RANK.EQ(D186,$H$125:$H$140,0)</f>
        <v>8</v>
      </c>
      <c r="F186" s="8"/>
      <c r="G186" s="8"/>
    </row>
    <row r="187" spans="2:7" x14ac:dyDescent="0.2">
      <c r="B187" s="44" t="s">
        <v>13</v>
      </c>
      <c r="C187" s="8"/>
      <c r="D187" s="9">
        <v>11741571</v>
      </c>
      <c r="E187" s="9">
        <f>_xlfn.RANK.EQ(D187,$H$125:$H$140,0)</f>
        <v>9</v>
      </c>
      <c r="F187" s="8"/>
      <c r="G187" s="8"/>
    </row>
    <row r="188" spans="2:7" x14ac:dyDescent="0.2">
      <c r="B188" s="8" t="s">
        <v>2</v>
      </c>
      <c r="C188" s="8"/>
      <c r="D188" s="9">
        <v>11535787</v>
      </c>
      <c r="E188" s="9">
        <f>_xlfn.RANK.EQ(D188,$H$125:$H$140,0)</f>
        <v>10</v>
      </c>
      <c r="F188" s="8"/>
      <c r="G188" s="8"/>
    </row>
    <row r="189" spans="2:7" x14ac:dyDescent="0.2">
      <c r="B189" s="44" t="s">
        <v>14</v>
      </c>
      <c r="C189" s="8"/>
      <c r="D189" s="9">
        <v>10470140</v>
      </c>
      <c r="E189" s="9">
        <f>_xlfn.RANK.EQ(D189,$H$125:$H$140,0)</f>
        <v>11</v>
      </c>
      <c r="F189" s="8"/>
      <c r="G189" s="8"/>
    </row>
    <row r="190" spans="2:7" x14ac:dyDescent="0.2">
      <c r="B190" s="8" t="s">
        <v>3</v>
      </c>
      <c r="C190" s="8"/>
      <c r="D190" s="9">
        <v>9894521</v>
      </c>
      <c r="E190" s="9">
        <f>_xlfn.RANK.EQ(D190,$H$125:$H$140,0)</f>
        <v>12</v>
      </c>
      <c r="F190" s="8"/>
      <c r="G190" s="8"/>
    </row>
    <row r="191" spans="2:7" x14ac:dyDescent="0.2">
      <c r="B191" s="44" t="s">
        <v>7</v>
      </c>
      <c r="C191" s="8"/>
      <c r="D191" s="9">
        <v>9814480</v>
      </c>
      <c r="E191" s="9">
        <f>_xlfn.RANK.EQ(D191,$H$125:$H$140,0)</f>
        <v>13</v>
      </c>
      <c r="F191" s="8"/>
      <c r="G191" s="8"/>
    </row>
    <row r="192" spans="2:7" x14ac:dyDescent="0.2">
      <c r="B192" s="44" t="s">
        <v>15</v>
      </c>
      <c r="C192" s="8"/>
      <c r="D192" s="9">
        <v>7913395</v>
      </c>
      <c r="E192" s="9">
        <f>_xlfn.RANK.EQ(D192,$H$125:$H$140,0)</f>
        <v>14</v>
      </c>
      <c r="F192" s="8"/>
      <c r="G192" s="8"/>
    </row>
    <row r="193" spans="2:7" x14ac:dyDescent="0.2">
      <c r="B193" s="44" t="s">
        <v>12</v>
      </c>
      <c r="C193" s="8"/>
      <c r="D193" s="9">
        <v>7320090</v>
      </c>
      <c r="E193" s="9">
        <f>_xlfn.RANK.EQ(D193,$H$125:$H$140,0)</f>
        <v>15</v>
      </c>
      <c r="F193" s="8"/>
      <c r="G193" s="8"/>
    </row>
    <row r="194" spans="2:7" x14ac:dyDescent="0.2">
      <c r="B194" s="44" t="s">
        <v>16</v>
      </c>
      <c r="C194" s="8"/>
      <c r="D194" s="9">
        <v>6358323</v>
      </c>
      <c r="E194" s="9">
        <f>_xlfn.RANK.EQ(D194,$H$125:$H$140,0)</f>
        <v>16</v>
      </c>
      <c r="F194" s="8"/>
      <c r="G194" s="8"/>
    </row>
    <row r="195" spans="2:7" x14ac:dyDescent="0.2">
      <c r="B195" s="8"/>
      <c r="C195" s="8"/>
      <c r="D195" s="8"/>
      <c r="E195" s="8"/>
      <c r="F195" s="8"/>
      <c r="G195" s="8"/>
    </row>
    <row r="196" spans="2:7" x14ac:dyDescent="0.2">
      <c r="B196" s="8"/>
      <c r="C196" s="8"/>
      <c r="D196" s="8"/>
      <c r="E196" s="8"/>
      <c r="F196" s="8"/>
      <c r="G196" s="8"/>
    </row>
    <row r="197" spans="2:7" x14ac:dyDescent="0.2">
      <c r="B197" s="8"/>
      <c r="C197" s="8"/>
      <c r="D197" s="43">
        <v>2023</v>
      </c>
      <c r="E197" s="43" t="s">
        <v>19</v>
      </c>
      <c r="F197" s="8"/>
      <c r="G197" s="8"/>
    </row>
    <row r="198" spans="2:7" x14ac:dyDescent="0.2">
      <c r="B198" s="8" t="s">
        <v>5</v>
      </c>
      <c r="C198" s="8"/>
      <c r="D198" s="9">
        <v>30369998</v>
      </c>
      <c r="E198" s="9">
        <f>_xlfn.RANK.EQ(D198,$J$125:$J$140,0)</f>
        <v>1</v>
      </c>
      <c r="F198" s="8"/>
      <c r="G198" s="8"/>
    </row>
    <row r="199" spans="2:7" x14ac:dyDescent="0.2">
      <c r="B199" s="44" t="s">
        <v>6</v>
      </c>
      <c r="C199" s="8"/>
      <c r="D199" s="9">
        <v>28368300</v>
      </c>
      <c r="E199" s="9">
        <f>_xlfn.RANK.EQ(D199,$J$125:$J$140,0)</f>
        <v>2</v>
      </c>
      <c r="F199" s="8"/>
      <c r="G199" s="8"/>
    </row>
    <row r="200" spans="2:7" x14ac:dyDescent="0.2">
      <c r="B200" s="8" t="s">
        <v>1</v>
      </c>
      <c r="C200" s="8"/>
      <c r="D200" s="9">
        <v>23334820</v>
      </c>
      <c r="E200" s="9">
        <f>_xlfn.RANK.EQ(D200,$J$125:$J$140,0)</f>
        <v>3</v>
      </c>
      <c r="F200" s="8"/>
      <c r="G200" s="8"/>
    </row>
    <row r="201" spans="2:7" x14ac:dyDescent="0.2">
      <c r="B201" s="44" t="s">
        <v>8</v>
      </c>
      <c r="C201" s="8"/>
      <c r="D201" s="9">
        <v>20282278</v>
      </c>
      <c r="E201" s="9">
        <f>_xlfn.RANK.EQ(D201,$J$125:$J$140,0)</f>
        <v>4</v>
      </c>
      <c r="F201" s="8"/>
      <c r="G201" s="8"/>
    </row>
    <row r="202" spans="2:7" x14ac:dyDescent="0.2">
      <c r="B202" s="44" t="s">
        <v>10</v>
      </c>
      <c r="C202" s="8"/>
      <c r="D202" s="9">
        <v>20128537</v>
      </c>
      <c r="E202" s="9">
        <f>_xlfn.RANK.EQ(D202,$J$125:$J$140,0)</f>
        <v>5</v>
      </c>
      <c r="F202" s="8"/>
      <c r="G202" s="8"/>
    </row>
    <row r="203" spans="2:7" x14ac:dyDescent="0.2">
      <c r="B203" s="8" t="s">
        <v>3</v>
      </c>
      <c r="C203" s="8"/>
      <c r="D203" s="9">
        <v>20053118</v>
      </c>
      <c r="E203" s="9">
        <f>_xlfn.RANK.EQ(D203,$J$125:$J$140,0)</f>
        <v>6</v>
      </c>
      <c r="F203" s="8"/>
      <c r="G203" s="8"/>
    </row>
    <row r="204" spans="2:7" x14ac:dyDescent="0.2">
      <c r="B204" s="44" t="s">
        <v>11</v>
      </c>
      <c r="C204" s="8"/>
      <c r="D204" s="9">
        <v>19903497</v>
      </c>
      <c r="E204" s="9">
        <f>_xlfn.RANK.EQ(D204,$J$125:$J$140,0)</f>
        <v>7</v>
      </c>
      <c r="F204" s="8"/>
      <c r="G204" s="8"/>
    </row>
    <row r="205" spans="2:7" x14ac:dyDescent="0.2">
      <c r="B205" s="44" t="s">
        <v>9</v>
      </c>
      <c r="C205" s="8"/>
      <c r="D205" s="9">
        <v>18701838</v>
      </c>
      <c r="E205" s="9">
        <f>_xlfn.RANK.EQ(D205,$J$125:$J$140,0)</f>
        <v>8</v>
      </c>
      <c r="F205" s="8"/>
      <c r="G205" s="8"/>
    </row>
    <row r="206" spans="2:7" x14ac:dyDescent="0.2">
      <c r="B206" s="8" t="s">
        <v>4</v>
      </c>
      <c r="C206" s="8"/>
      <c r="D206" s="9">
        <v>17619062</v>
      </c>
      <c r="E206" s="9">
        <f>_xlfn.RANK.EQ(D206,$J$125:$J$140,0)</f>
        <v>9</v>
      </c>
      <c r="F206" s="8"/>
      <c r="G206" s="8"/>
    </row>
    <row r="207" spans="2:7" x14ac:dyDescent="0.2">
      <c r="B207" s="44" t="s">
        <v>13</v>
      </c>
      <c r="C207" s="8"/>
      <c r="D207" s="9">
        <v>15217435</v>
      </c>
      <c r="E207" s="9">
        <f>_xlfn.RANK.EQ(D207,$J$125:$J$140,0)</f>
        <v>10</v>
      </c>
      <c r="F207" s="8"/>
      <c r="G207" s="8"/>
    </row>
    <row r="208" spans="2:7" x14ac:dyDescent="0.2">
      <c r="B208" s="44" t="s">
        <v>12</v>
      </c>
      <c r="C208" s="8"/>
      <c r="D208" s="9">
        <v>10927572</v>
      </c>
      <c r="E208" s="9">
        <f>_xlfn.RANK.EQ(D208,$J$125:$J$140,0)</f>
        <v>11</v>
      </c>
      <c r="F208" s="8"/>
      <c r="G208" s="8"/>
    </row>
    <row r="209" spans="2:7" x14ac:dyDescent="0.2">
      <c r="B209" s="44" t="s">
        <v>14</v>
      </c>
      <c r="C209" s="8"/>
      <c r="D209" s="9">
        <v>9787317</v>
      </c>
      <c r="E209" s="9">
        <f>_xlfn.RANK.EQ(D209,$J$125:$J$140,0)</f>
        <v>12</v>
      </c>
      <c r="F209" s="8"/>
      <c r="G209" s="8"/>
    </row>
    <row r="210" spans="2:7" x14ac:dyDescent="0.2">
      <c r="B210" s="44" t="s">
        <v>7</v>
      </c>
      <c r="C210" s="8"/>
      <c r="D210" s="9">
        <v>9616692</v>
      </c>
      <c r="E210" s="9">
        <f>_xlfn.RANK.EQ(D210,$J$125:$J$140,0)</f>
        <v>13</v>
      </c>
      <c r="F210" s="8"/>
      <c r="G210" s="8"/>
    </row>
    <row r="211" spans="2:7" x14ac:dyDescent="0.2">
      <c r="B211" s="44" t="s">
        <v>15</v>
      </c>
      <c r="C211" s="8"/>
      <c r="D211" s="9">
        <v>9492941</v>
      </c>
      <c r="E211" s="9">
        <f>_xlfn.RANK.EQ(D211,$J$125:$J$140,0)</f>
        <v>14</v>
      </c>
      <c r="F211" s="8"/>
      <c r="G211" s="8"/>
    </row>
    <row r="212" spans="2:7" x14ac:dyDescent="0.2">
      <c r="B212" s="8" t="s">
        <v>2</v>
      </c>
      <c r="C212" s="8"/>
      <c r="D212" s="9">
        <v>9421767</v>
      </c>
      <c r="E212" s="9">
        <f>_xlfn.RANK.EQ(D212,$J$125:$J$140,0)</f>
        <v>15</v>
      </c>
      <c r="F212" s="8"/>
      <c r="G212" s="8"/>
    </row>
    <row r="213" spans="2:7" x14ac:dyDescent="0.2">
      <c r="B213" s="44" t="s">
        <v>16</v>
      </c>
      <c r="C213" s="8"/>
      <c r="D213" s="9">
        <v>7392401</v>
      </c>
      <c r="E213" s="9">
        <f>_xlfn.RANK.EQ(D213,$J$125:$J$140,0)</f>
        <v>16</v>
      </c>
      <c r="F213" s="8"/>
      <c r="G213" s="8"/>
    </row>
    <row r="214" spans="2:7" x14ac:dyDescent="0.2">
      <c r="B214" s="8"/>
      <c r="C214" s="8"/>
      <c r="D214" s="8"/>
      <c r="E214" s="8"/>
      <c r="F214" s="8"/>
      <c r="G214" s="8"/>
    </row>
    <row r="215" spans="2:7" x14ac:dyDescent="0.2">
      <c r="B215" s="8"/>
      <c r="C215" s="8"/>
      <c r="D215" s="43">
        <v>2024</v>
      </c>
      <c r="E215" s="43" t="s">
        <v>19</v>
      </c>
      <c r="F215" s="8"/>
      <c r="G215" s="8"/>
    </row>
    <row r="216" spans="2:7" x14ac:dyDescent="0.2">
      <c r="B216" s="44" t="s">
        <v>6</v>
      </c>
      <c r="C216" s="8"/>
      <c r="D216" s="9">
        <v>20124511</v>
      </c>
      <c r="E216" s="9">
        <f>_xlfn.RANK.EQ(D216,$L$125:$L$140,0)</f>
        <v>1</v>
      </c>
      <c r="F216" s="8"/>
      <c r="G216" s="8"/>
    </row>
    <row r="217" spans="2:7" x14ac:dyDescent="0.2">
      <c r="B217" s="8" t="s">
        <v>5</v>
      </c>
      <c r="C217" s="8"/>
      <c r="D217" s="9">
        <v>18786522</v>
      </c>
      <c r="E217" s="9">
        <f>_xlfn.RANK.EQ(D217,$L$125:$L$140,0)</f>
        <v>2</v>
      </c>
      <c r="F217" s="8"/>
      <c r="G217" s="8"/>
    </row>
    <row r="218" spans="2:7" x14ac:dyDescent="0.2">
      <c r="B218" s="8" t="s">
        <v>1</v>
      </c>
      <c r="C218" s="8"/>
      <c r="D218" s="9">
        <v>17679310</v>
      </c>
      <c r="E218" s="9">
        <f>_xlfn.RANK.EQ(D218,$L$125:$L$140,0)</f>
        <v>3</v>
      </c>
      <c r="F218" s="8"/>
      <c r="G218" s="8"/>
    </row>
    <row r="219" spans="2:7" x14ac:dyDescent="0.2">
      <c r="B219" s="8" t="s">
        <v>3</v>
      </c>
      <c r="C219" s="8"/>
      <c r="D219" s="9">
        <v>15432148</v>
      </c>
      <c r="E219" s="9">
        <f>_xlfn.RANK.EQ(D219,$L$125:$L$140,0)</f>
        <v>4</v>
      </c>
      <c r="F219" s="8"/>
      <c r="G219" s="8"/>
    </row>
    <row r="220" spans="2:7" x14ac:dyDescent="0.2">
      <c r="B220" s="44" t="s">
        <v>10</v>
      </c>
      <c r="C220" s="8"/>
      <c r="D220" s="9">
        <v>14836301</v>
      </c>
      <c r="E220" s="9">
        <f>_xlfn.RANK.EQ(D220,$L$125:$L$140,0)</f>
        <v>5</v>
      </c>
      <c r="F220" s="8"/>
      <c r="G220" s="8"/>
    </row>
    <row r="221" spans="2:7" x14ac:dyDescent="0.2">
      <c r="B221" s="44" t="s">
        <v>11</v>
      </c>
      <c r="C221" s="8"/>
      <c r="D221" s="9">
        <v>13290637</v>
      </c>
      <c r="E221" s="9">
        <f>_xlfn.RANK.EQ(D221,$L$125:$L$140,0)</f>
        <v>6</v>
      </c>
      <c r="F221" s="8"/>
      <c r="G221" s="8"/>
    </row>
    <row r="222" spans="2:7" x14ac:dyDescent="0.2">
      <c r="B222" s="44" t="s">
        <v>9</v>
      </c>
      <c r="C222" s="8"/>
      <c r="D222" s="9">
        <v>12196763</v>
      </c>
      <c r="E222" s="9">
        <f>_xlfn.RANK.EQ(D222,$L$125:$L$140,0)</f>
        <v>7</v>
      </c>
      <c r="F222" s="8"/>
      <c r="G222" s="8"/>
    </row>
    <row r="223" spans="2:7" x14ac:dyDescent="0.2">
      <c r="B223" s="44" t="s">
        <v>8</v>
      </c>
      <c r="C223" s="8"/>
      <c r="D223" s="9">
        <v>10618509</v>
      </c>
      <c r="E223" s="9">
        <f>_xlfn.RANK.EQ(D223,$L$125:$L$140,0)</f>
        <v>8</v>
      </c>
      <c r="F223" s="8"/>
      <c r="G223" s="8"/>
    </row>
    <row r="224" spans="2:7" x14ac:dyDescent="0.2">
      <c r="B224" s="8" t="s">
        <v>4</v>
      </c>
      <c r="C224" s="8"/>
      <c r="D224" s="9">
        <v>10087458</v>
      </c>
      <c r="E224" s="9">
        <f>_xlfn.RANK.EQ(D224,$L$125:$L$140,0)</f>
        <v>9</v>
      </c>
      <c r="F224" s="8"/>
      <c r="G224" s="8"/>
    </row>
    <row r="225" spans="2:7" x14ac:dyDescent="0.2">
      <c r="B225" s="44" t="s">
        <v>13</v>
      </c>
      <c r="C225" s="8"/>
      <c r="D225" s="9">
        <v>9652606</v>
      </c>
      <c r="E225" s="9">
        <f>_xlfn.RANK.EQ(D225,$L$125:$L$140,0)</f>
        <v>10</v>
      </c>
      <c r="F225" s="8"/>
      <c r="G225" s="8"/>
    </row>
    <row r="226" spans="2:7" x14ac:dyDescent="0.2">
      <c r="B226" s="8" t="s">
        <v>2</v>
      </c>
      <c r="C226" s="8"/>
      <c r="D226" s="9">
        <v>9518182</v>
      </c>
      <c r="E226" s="9">
        <f>_xlfn.RANK.EQ(D226,$L$125:$L$140,0)</f>
        <v>11</v>
      </c>
      <c r="F226" s="8"/>
      <c r="G226" s="8"/>
    </row>
    <row r="227" spans="2:7" x14ac:dyDescent="0.2">
      <c r="B227" s="44" t="s">
        <v>14</v>
      </c>
      <c r="C227" s="8"/>
      <c r="D227" s="9">
        <v>8239933</v>
      </c>
      <c r="E227" s="9">
        <f>_xlfn.RANK.EQ(D227,$L$125:$L$140,0)</f>
        <v>12</v>
      </c>
      <c r="F227" s="8"/>
      <c r="G227" s="8"/>
    </row>
    <row r="228" spans="2:7" x14ac:dyDescent="0.2">
      <c r="B228" s="44" t="s">
        <v>15</v>
      </c>
      <c r="C228" s="8"/>
      <c r="D228" s="9">
        <v>7431724</v>
      </c>
      <c r="E228" s="9">
        <f>_xlfn.RANK.EQ(D228,$L$125:$L$140,0)</f>
        <v>13</v>
      </c>
      <c r="F228" s="8"/>
      <c r="G228" s="8"/>
    </row>
    <row r="229" spans="2:7" x14ac:dyDescent="0.2">
      <c r="B229" s="44" t="s">
        <v>7</v>
      </c>
      <c r="C229" s="8"/>
      <c r="D229" s="9">
        <v>6838572</v>
      </c>
      <c r="E229" s="9">
        <f>_xlfn.RANK.EQ(D229,$L$125:$L$140,0)</f>
        <v>14</v>
      </c>
      <c r="F229" s="8"/>
      <c r="G229" s="8"/>
    </row>
    <row r="230" spans="2:7" x14ac:dyDescent="0.2">
      <c r="B230" s="44" t="s">
        <v>12</v>
      </c>
      <c r="C230" s="8"/>
      <c r="D230" s="9">
        <v>5868362</v>
      </c>
      <c r="E230" s="9">
        <f>_xlfn.RANK.EQ(D230,$L$125:$L$140,0)</f>
        <v>15</v>
      </c>
      <c r="F230" s="8"/>
      <c r="G230" s="8"/>
    </row>
    <row r="231" spans="2:7" x14ac:dyDescent="0.2">
      <c r="B231" s="44" t="s">
        <v>16</v>
      </c>
      <c r="C231" s="8"/>
      <c r="D231" s="9">
        <v>5197555</v>
      </c>
      <c r="E231" s="9">
        <f>_xlfn.RANK.EQ(D231,$L$125:$L$140,0)</f>
        <v>16</v>
      </c>
      <c r="F231" s="8"/>
      <c r="G231" s="8"/>
    </row>
    <row r="232" spans="2:7" x14ac:dyDescent="0.2">
      <c r="B232" s="8"/>
      <c r="C232" s="8"/>
      <c r="D232" s="8"/>
      <c r="E232" s="8"/>
      <c r="F232" s="8"/>
      <c r="G232" s="8"/>
    </row>
    <row r="233" spans="2:7" x14ac:dyDescent="0.2">
      <c r="B233" s="8"/>
      <c r="C233" s="8"/>
      <c r="D233" s="8"/>
      <c r="E233" s="8"/>
      <c r="F233" s="8"/>
      <c r="G233" s="8"/>
    </row>
    <row r="234" spans="2:7" x14ac:dyDescent="0.2">
      <c r="B234" s="8"/>
      <c r="C234" s="8"/>
      <c r="D234" s="8"/>
      <c r="E234" s="8"/>
      <c r="F234" s="8"/>
      <c r="G234" s="8"/>
    </row>
    <row r="235" spans="2:7" x14ac:dyDescent="0.2">
      <c r="B235" s="8"/>
      <c r="C235" s="8"/>
      <c r="D235" s="8"/>
      <c r="E235" s="8"/>
      <c r="F235" s="8"/>
      <c r="G235" s="8"/>
    </row>
    <row r="236" spans="2:7" x14ac:dyDescent="0.2">
      <c r="B236" s="8"/>
      <c r="C236" s="8"/>
      <c r="D236" s="8"/>
      <c r="E236" s="8"/>
      <c r="F236" s="8"/>
      <c r="G236" s="8"/>
    </row>
    <row r="237" spans="2:7" x14ac:dyDescent="0.2">
      <c r="B237" s="8"/>
      <c r="C237" s="8"/>
      <c r="D237" s="8"/>
      <c r="E237" s="8"/>
      <c r="F237" s="8"/>
      <c r="G237" s="8"/>
    </row>
    <row r="238" spans="2:7" x14ac:dyDescent="0.2">
      <c r="B238" s="8"/>
      <c r="C238" s="8"/>
      <c r="D238" s="8"/>
      <c r="E238" s="8"/>
      <c r="F238" s="8"/>
      <c r="G238" s="8"/>
    </row>
    <row r="239" spans="2:7" x14ac:dyDescent="0.2">
      <c r="B239" s="8"/>
      <c r="C239" s="8"/>
      <c r="D239" s="8"/>
      <c r="E239" s="8"/>
      <c r="F239" s="8"/>
      <c r="G239" s="8"/>
    </row>
    <row r="240" spans="2:7" x14ac:dyDescent="0.2">
      <c r="B240" s="8"/>
      <c r="C240" s="8"/>
      <c r="D240" s="8"/>
      <c r="E240" s="8"/>
      <c r="F240" s="8"/>
      <c r="G240" s="8"/>
    </row>
    <row r="241" spans="2:7" x14ac:dyDescent="0.2">
      <c r="B241" s="8"/>
      <c r="C241" s="8"/>
      <c r="D241" s="8"/>
      <c r="E241" s="8"/>
      <c r="F241" s="8"/>
      <c r="G241" s="8"/>
    </row>
    <row r="242" spans="2:7" x14ac:dyDescent="0.2">
      <c r="B242" s="8"/>
      <c r="C242" s="8"/>
      <c r="D242" s="8"/>
      <c r="E242" s="8"/>
      <c r="F242" s="8"/>
      <c r="G242" s="8"/>
    </row>
    <row r="243" spans="2:7" x14ac:dyDescent="0.2">
      <c r="B243" s="8"/>
      <c r="C243" s="8"/>
      <c r="D243" s="8"/>
      <c r="E243" s="8"/>
      <c r="F243" s="8"/>
      <c r="G243" s="8"/>
    </row>
    <row r="244" spans="2:7" x14ac:dyDescent="0.2">
      <c r="B244" s="8"/>
      <c r="C244" s="8"/>
      <c r="D244" s="8"/>
      <c r="E244" s="8"/>
      <c r="F244" s="8"/>
      <c r="G244" s="8"/>
    </row>
    <row r="245" spans="2:7" x14ac:dyDescent="0.2">
      <c r="B245" s="8"/>
      <c r="C245" s="8"/>
      <c r="D245" s="8"/>
      <c r="E245" s="8"/>
      <c r="F245" s="8"/>
      <c r="G245" s="8"/>
    </row>
    <row r="246" spans="2:7" x14ac:dyDescent="0.2">
      <c r="B246" s="8"/>
      <c r="C246" s="8"/>
      <c r="D246" s="8"/>
      <c r="E246" s="8"/>
      <c r="F246" s="8"/>
      <c r="G246" s="8"/>
    </row>
    <row r="247" spans="2:7" x14ac:dyDescent="0.2">
      <c r="B247" s="8"/>
      <c r="C247" s="8"/>
      <c r="D247" s="8"/>
      <c r="E247" s="8"/>
      <c r="F247" s="8"/>
      <c r="G247" s="8"/>
    </row>
    <row r="248" spans="2:7" x14ac:dyDescent="0.2">
      <c r="B248" s="8"/>
      <c r="C248" s="8"/>
      <c r="D248" s="8"/>
      <c r="E248" s="8"/>
      <c r="F248" s="8"/>
      <c r="G248" s="8"/>
    </row>
    <row r="249" spans="2:7" x14ac:dyDescent="0.2">
      <c r="B249" s="8"/>
      <c r="C249" s="8"/>
      <c r="D249" s="8"/>
      <c r="E249" s="8"/>
      <c r="F249" s="8"/>
      <c r="G249" s="8"/>
    </row>
    <row r="250" spans="2:7" x14ac:dyDescent="0.2">
      <c r="B250" s="8"/>
      <c r="C250" s="8"/>
      <c r="D250" s="8"/>
      <c r="E250" s="8"/>
      <c r="F250" s="8"/>
      <c r="G250" s="8"/>
    </row>
    <row r="251" spans="2:7" x14ac:dyDescent="0.2">
      <c r="B251" s="8"/>
      <c r="C251" s="8"/>
      <c r="D251" s="8"/>
      <c r="E251" s="8"/>
      <c r="F251" s="8"/>
      <c r="G251" s="8"/>
    </row>
    <row r="252" spans="2:7" x14ac:dyDescent="0.2">
      <c r="B252" s="8"/>
      <c r="C252" s="8"/>
      <c r="D252" s="8"/>
      <c r="E252" s="8"/>
      <c r="F252" s="8"/>
      <c r="G252" s="8"/>
    </row>
    <row r="253" spans="2:7" x14ac:dyDescent="0.2">
      <c r="B253" s="8"/>
      <c r="C253" s="8"/>
      <c r="D253" s="8"/>
      <c r="E253" s="8"/>
      <c r="F253" s="8"/>
      <c r="G253" s="8"/>
    </row>
    <row r="254" spans="2:7" x14ac:dyDescent="0.2">
      <c r="B254" s="8"/>
      <c r="C254" s="8"/>
      <c r="D254" s="8"/>
      <c r="E254" s="8"/>
      <c r="F254" s="8"/>
      <c r="G254" s="8"/>
    </row>
    <row r="255" spans="2:7" x14ac:dyDescent="0.2">
      <c r="B255" s="8"/>
      <c r="C255" s="8"/>
      <c r="D255" s="8"/>
      <c r="E255" s="8"/>
      <c r="F255" s="8"/>
      <c r="G255" s="8"/>
    </row>
    <row r="256" spans="2:7" x14ac:dyDescent="0.2">
      <c r="B256" s="8"/>
      <c r="C256" s="8"/>
      <c r="D256" s="8"/>
      <c r="E256" s="8"/>
      <c r="F256" s="8"/>
      <c r="G256" s="8"/>
    </row>
    <row r="257" spans="2:7" x14ac:dyDescent="0.2">
      <c r="B257" s="8"/>
      <c r="C257" s="8"/>
      <c r="D257" s="8"/>
      <c r="E257" s="8"/>
      <c r="F257" s="8"/>
      <c r="G257" s="8"/>
    </row>
    <row r="258" spans="2:7" x14ac:dyDescent="0.2">
      <c r="B258" s="8"/>
      <c r="C258" s="8"/>
      <c r="D258" s="8"/>
      <c r="E258" s="8"/>
      <c r="F258" s="8"/>
      <c r="G258" s="8"/>
    </row>
    <row r="259" spans="2:7" x14ac:dyDescent="0.2">
      <c r="B259" s="8"/>
      <c r="C259" s="8"/>
      <c r="D259" s="8"/>
      <c r="E259" s="8"/>
      <c r="F259" s="8"/>
      <c r="G259" s="8"/>
    </row>
    <row r="260" spans="2:7" x14ac:dyDescent="0.2">
      <c r="B260" s="8"/>
      <c r="C260" s="8"/>
      <c r="D260" s="8"/>
      <c r="E260" s="8"/>
      <c r="F260" s="8"/>
      <c r="G260" s="8"/>
    </row>
    <row r="261" spans="2:7" x14ac:dyDescent="0.2">
      <c r="B261" s="8"/>
      <c r="C261" s="8"/>
      <c r="D261" s="8"/>
      <c r="E261" s="8"/>
      <c r="F261" s="8"/>
      <c r="G261" s="8"/>
    </row>
    <row r="262" spans="2:7" x14ac:dyDescent="0.2">
      <c r="B262" s="8"/>
      <c r="C262" s="8"/>
      <c r="D262" s="8"/>
      <c r="E262" s="8"/>
      <c r="F262" s="8"/>
      <c r="G262" s="8"/>
    </row>
    <row r="263" spans="2:7" x14ac:dyDescent="0.2">
      <c r="B263" s="8"/>
      <c r="C263" s="8"/>
      <c r="D263" s="8"/>
      <c r="E263" s="8"/>
      <c r="F263" s="8"/>
      <c r="G263" s="8"/>
    </row>
    <row r="264" spans="2:7" x14ac:dyDescent="0.2">
      <c r="B264" s="8"/>
      <c r="C264" s="8"/>
      <c r="D264" s="8"/>
      <c r="E264" s="8"/>
      <c r="F264" s="8"/>
      <c r="G264" s="8"/>
    </row>
    <row r="265" spans="2:7" x14ac:dyDescent="0.2">
      <c r="B265" s="8"/>
      <c r="C265" s="8"/>
      <c r="D265" s="8"/>
      <c r="E265" s="8"/>
      <c r="F265" s="8"/>
      <c r="G265" s="8"/>
    </row>
    <row r="266" spans="2:7" x14ac:dyDescent="0.2">
      <c r="B266" s="8"/>
      <c r="C266" s="8"/>
      <c r="D266" s="8"/>
      <c r="E266" s="8"/>
      <c r="F266" s="8"/>
      <c r="G266" s="8"/>
    </row>
    <row r="267" spans="2:7" x14ac:dyDescent="0.2">
      <c r="B267" s="8"/>
      <c r="C267" s="8"/>
      <c r="D267" s="8"/>
      <c r="E267" s="8"/>
      <c r="F267" s="8"/>
      <c r="G267" s="8"/>
    </row>
    <row r="268" spans="2:7" x14ac:dyDescent="0.2">
      <c r="B268" s="8"/>
      <c r="C268" s="8"/>
      <c r="D268" s="8"/>
      <c r="E268" s="8"/>
      <c r="F268" s="8"/>
      <c r="G268" s="8"/>
    </row>
    <row r="269" spans="2:7" x14ac:dyDescent="0.2">
      <c r="B269" s="8"/>
      <c r="C269" s="8"/>
      <c r="D269" s="8"/>
      <c r="E269" s="8"/>
      <c r="F269" s="8"/>
      <c r="G269" s="8"/>
    </row>
    <row r="270" spans="2:7" x14ac:dyDescent="0.2">
      <c r="B270" s="8"/>
      <c r="C270" s="8"/>
      <c r="D270" s="8"/>
      <c r="E270" s="8"/>
      <c r="F270" s="8"/>
      <c r="G270" s="8"/>
    </row>
    <row r="271" spans="2:7" x14ac:dyDescent="0.2">
      <c r="B271" s="8"/>
      <c r="C271" s="8"/>
      <c r="D271" s="8"/>
      <c r="E271" s="8"/>
      <c r="F271" s="8"/>
      <c r="G271" s="8"/>
    </row>
    <row r="272" spans="2:7" x14ac:dyDescent="0.2">
      <c r="B272" s="8"/>
      <c r="C272" s="8"/>
      <c r="D272" s="8"/>
      <c r="E272" s="8"/>
      <c r="F272" s="8"/>
      <c r="G272" s="8"/>
    </row>
    <row r="273" spans="2:7" x14ac:dyDescent="0.2">
      <c r="B273" s="8"/>
      <c r="C273" s="8"/>
      <c r="D273" s="8"/>
      <c r="E273" s="8"/>
      <c r="F273" s="8"/>
      <c r="G273" s="8"/>
    </row>
    <row r="274" spans="2:7" x14ac:dyDescent="0.2">
      <c r="B274" s="8"/>
      <c r="C274" s="8"/>
      <c r="D274" s="8"/>
      <c r="E274" s="8"/>
      <c r="F274" s="8"/>
      <c r="G274" s="8"/>
    </row>
    <row r="275" spans="2:7" x14ac:dyDescent="0.2">
      <c r="B275" s="8"/>
      <c r="C275" s="8"/>
      <c r="D275" s="8"/>
      <c r="E275" s="8"/>
      <c r="F275" s="8"/>
      <c r="G275" s="8"/>
    </row>
    <row r="276" spans="2:7" x14ac:dyDescent="0.2">
      <c r="B276" s="8"/>
      <c r="C276" s="8"/>
      <c r="D276" s="8"/>
      <c r="E276" s="8"/>
      <c r="F276" s="8"/>
      <c r="G276" s="8"/>
    </row>
    <row r="277" spans="2:7" x14ac:dyDescent="0.2">
      <c r="B277" s="8"/>
      <c r="C277" s="8"/>
      <c r="D277" s="8"/>
      <c r="E277" s="8"/>
      <c r="F277" s="8"/>
      <c r="G277" s="8"/>
    </row>
    <row r="278" spans="2:7" x14ac:dyDescent="0.2">
      <c r="B278" s="8"/>
      <c r="C278" s="8"/>
      <c r="D278" s="8"/>
      <c r="E278" s="8"/>
      <c r="F278" s="8"/>
      <c r="G278" s="8"/>
    </row>
    <row r="279" spans="2:7" x14ac:dyDescent="0.2">
      <c r="B279" s="8"/>
      <c r="C279" s="8"/>
      <c r="D279" s="8"/>
      <c r="E279" s="8"/>
      <c r="F279" s="8"/>
      <c r="G279" s="8"/>
    </row>
    <row r="280" spans="2:7" x14ac:dyDescent="0.2">
      <c r="B280" s="8"/>
      <c r="C280" s="8"/>
      <c r="D280" s="8"/>
      <c r="E280" s="8"/>
      <c r="F280" s="8"/>
      <c r="G280" s="8"/>
    </row>
    <row r="281" spans="2:7" x14ac:dyDescent="0.2">
      <c r="B281" s="8"/>
      <c r="C281" s="8"/>
      <c r="D281" s="8"/>
      <c r="E281" s="8"/>
      <c r="F281" s="8"/>
      <c r="G281" s="8"/>
    </row>
    <row r="282" spans="2:7" x14ac:dyDescent="0.2">
      <c r="B282" s="8"/>
      <c r="C282" s="8"/>
      <c r="D282" s="8"/>
      <c r="E282" s="8"/>
      <c r="F282" s="8"/>
      <c r="G282" s="8"/>
    </row>
    <row r="283" spans="2:7" x14ac:dyDescent="0.2">
      <c r="B283" s="8"/>
      <c r="C283" s="8"/>
      <c r="D283" s="8"/>
      <c r="E283" s="8"/>
      <c r="F283" s="8"/>
      <c r="G283" s="8"/>
    </row>
    <row r="284" spans="2:7" x14ac:dyDescent="0.2">
      <c r="B284" s="8"/>
      <c r="C284" s="8"/>
      <c r="D284" s="8"/>
      <c r="E284" s="8"/>
      <c r="F284" s="8"/>
      <c r="G284" s="8"/>
    </row>
    <row r="285" spans="2:7" x14ac:dyDescent="0.2">
      <c r="B285" s="8"/>
      <c r="C285" s="8"/>
      <c r="D285" s="8"/>
      <c r="E285" s="8"/>
      <c r="F285" s="8"/>
      <c r="G285" s="8"/>
    </row>
    <row r="286" spans="2:7" x14ac:dyDescent="0.2">
      <c r="B286" s="8"/>
      <c r="C286" s="8"/>
      <c r="D286" s="8"/>
      <c r="E286" s="8"/>
      <c r="F286" s="8"/>
      <c r="G286" s="8"/>
    </row>
    <row r="287" spans="2:7" x14ac:dyDescent="0.2">
      <c r="B287" s="8"/>
      <c r="C287" s="8"/>
      <c r="D287" s="8"/>
      <c r="E287" s="8"/>
      <c r="F287" s="8"/>
      <c r="G287" s="8"/>
    </row>
    <row r="288" spans="2:7" x14ac:dyDescent="0.2">
      <c r="B288" s="8"/>
      <c r="C288" s="8"/>
      <c r="D288" s="8"/>
      <c r="E288" s="8"/>
      <c r="F288" s="8"/>
      <c r="G288" s="8"/>
    </row>
    <row r="289" spans="2:7" x14ac:dyDescent="0.2">
      <c r="B289" s="8"/>
      <c r="C289" s="8"/>
      <c r="D289" s="8"/>
      <c r="E289" s="8"/>
      <c r="F289" s="8"/>
      <c r="G289" s="8"/>
    </row>
    <row r="290" spans="2:7" x14ac:dyDescent="0.2">
      <c r="B290" s="8"/>
      <c r="C290" s="8"/>
      <c r="D290" s="8"/>
      <c r="E290" s="8"/>
      <c r="F290" s="8"/>
      <c r="G290" s="8"/>
    </row>
    <row r="291" spans="2:7" x14ac:dyDescent="0.2">
      <c r="B291" s="8"/>
      <c r="C291" s="8"/>
      <c r="D291" s="8"/>
      <c r="E291" s="8"/>
      <c r="F291" s="8"/>
      <c r="G291" s="8"/>
    </row>
    <row r="292" spans="2:7" x14ac:dyDescent="0.2">
      <c r="B292" s="8"/>
      <c r="C292" s="8"/>
      <c r="D292" s="8"/>
      <c r="E292" s="8"/>
      <c r="F292" s="8"/>
      <c r="G292" s="8"/>
    </row>
    <row r="293" spans="2:7" x14ac:dyDescent="0.2">
      <c r="B293" s="8"/>
      <c r="C293" s="8"/>
      <c r="D293" s="8"/>
      <c r="E293" s="8"/>
      <c r="F293" s="8"/>
      <c r="G293" s="8"/>
    </row>
    <row r="294" spans="2:7" x14ac:dyDescent="0.2">
      <c r="B294" s="8"/>
      <c r="C294" s="8"/>
      <c r="D294" s="8"/>
      <c r="E294" s="8"/>
      <c r="F294" s="8"/>
      <c r="G294" s="8"/>
    </row>
    <row r="295" spans="2:7" x14ac:dyDescent="0.2">
      <c r="B295" s="8"/>
      <c r="C295" s="8"/>
      <c r="D295" s="8"/>
      <c r="E295" s="8"/>
      <c r="F295" s="8"/>
      <c r="G295" s="8"/>
    </row>
    <row r="296" spans="2:7" x14ac:dyDescent="0.2">
      <c r="B296" s="8"/>
      <c r="C296" s="8"/>
      <c r="D296" s="8"/>
      <c r="E296" s="8"/>
      <c r="F296" s="8"/>
      <c r="G296" s="8"/>
    </row>
    <row r="297" spans="2:7" x14ac:dyDescent="0.2">
      <c r="B297" s="8"/>
      <c r="C297" s="8"/>
      <c r="D297" s="8"/>
      <c r="E297" s="8"/>
      <c r="F297" s="8"/>
      <c r="G297" s="8"/>
    </row>
    <row r="298" spans="2:7" x14ac:dyDescent="0.2">
      <c r="B298" s="8"/>
      <c r="C298" s="8"/>
      <c r="D298" s="8"/>
      <c r="E298" s="8"/>
      <c r="F298" s="8"/>
      <c r="G298" s="8"/>
    </row>
    <row r="299" spans="2:7" x14ac:dyDescent="0.2">
      <c r="B299" s="8"/>
      <c r="C299" s="8"/>
      <c r="D299" s="8"/>
      <c r="E299" s="8"/>
      <c r="F299" s="8"/>
      <c r="G299" s="8"/>
    </row>
    <row r="300" spans="2:7" x14ac:dyDescent="0.2">
      <c r="B300" s="8"/>
      <c r="C300" s="8"/>
      <c r="D300" s="8"/>
      <c r="E300" s="8"/>
      <c r="F300" s="8"/>
      <c r="G300" s="8"/>
    </row>
    <row r="301" spans="2:7" x14ac:dyDescent="0.2">
      <c r="B301" s="8"/>
      <c r="C301" s="8"/>
      <c r="D301" s="8"/>
      <c r="E301" s="8"/>
      <c r="F301" s="8"/>
      <c r="G301" s="8"/>
    </row>
    <row r="302" spans="2:7" x14ac:dyDescent="0.2">
      <c r="B302" s="8"/>
      <c r="C302" s="8"/>
      <c r="D302" s="8"/>
      <c r="E302" s="8"/>
      <c r="F302" s="8"/>
      <c r="G302" s="8"/>
    </row>
    <row r="303" spans="2:7" x14ac:dyDescent="0.2">
      <c r="B303" s="8"/>
      <c r="C303" s="8"/>
      <c r="D303" s="8"/>
      <c r="E303" s="8"/>
      <c r="F303" s="8"/>
      <c r="G303" s="8"/>
    </row>
    <row r="304" spans="2:7" x14ac:dyDescent="0.2">
      <c r="B304" s="8"/>
      <c r="C304" s="8"/>
      <c r="D304" s="8"/>
      <c r="E304" s="8"/>
      <c r="F304" s="8"/>
      <c r="G304" s="8"/>
    </row>
    <row r="305" spans="2:7" x14ac:dyDescent="0.2">
      <c r="B305" s="8"/>
      <c r="C305" s="8"/>
      <c r="D305" s="8"/>
      <c r="E305" s="8"/>
      <c r="F305" s="8"/>
      <c r="G305" s="8"/>
    </row>
    <row r="306" spans="2:7" x14ac:dyDescent="0.2">
      <c r="B306" s="8"/>
      <c r="C306" s="8"/>
      <c r="D306" s="8"/>
      <c r="E306" s="8"/>
      <c r="F306" s="8"/>
      <c r="G306" s="8"/>
    </row>
    <row r="307" spans="2:7" x14ac:dyDescent="0.2">
      <c r="B307" s="8"/>
      <c r="C307" s="8"/>
      <c r="D307" s="8"/>
      <c r="E307" s="8"/>
      <c r="F307" s="8"/>
      <c r="G307" s="8"/>
    </row>
    <row r="308" spans="2:7" x14ac:dyDescent="0.2">
      <c r="B308" s="8"/>
      <c r="C308" s="8"/>
      <c r="D308" s="8"/>
      <c r="E308" s="8"/>
      <c r="F308" s="8"/>
      <c r="G308" s="8"/>
    </row>
    <row r="309" spans="2:7" x14ac:dyDescent="0.2">
      <c r="B309" s="8"/>
      <c r="C309" s="8"/>
      <c r="D309" s="8"/>
      <c r="E309" s="8"/>
      <c r="F309" s="8"/>
      <c r="G309" s="8"/>
    </row>
    <row r="310" spans="2:7" x14ac:dyDescent="0.2">
      <c r="B310" s="8"/>
      <c r="C310" s="8"/>
      <c r="D310" s="8"/>
      <c r="E310" s="8"/>
      <c r="F310" s="8"/>
      <c r="G310" s="8"/>
    </row>
    <row r="311" spans="2:7" x14ac:dyDescent="0.2">
      <c r="B311" s="8"/>
      <c r="C311" s="8"/>
      <c r="D311" s="8"/>
      <c r="E311" s="8"/>
      <c r="F311" s="8"/>
      <c r="G311" s="8"/>
    </row>
    <row r="312" spans="2:7" x14ac:dyDescent="0.2">
      <c r="B312" s="8"/>
      <c r="C312" s="8"/>
      <c r="D312" s="8"/>
      <c r="E312" s="8"/>
      <c r="F312" s="8"/>
      <c r="G312" s="8"/>
    </row>
    <row r="313" spans="2:7" x14ac:dyDescent="0.2">
      <c r="B313" s="8"/>
      <c r="C313" s="8"/>
      <c r="D313" s="8"/>
      <c r="E313" s="8"/>
      <c r="F313" s="8"/>
      <c r="G313" s="8"/>
    </row>
    <row r="314" spans="2:7" x14ac:dyDescent="0.2">
      <c r="B314" s="8"/>
      <c r="C314" s="8"/>
      <c r="D314" s="8"/>
      <c r="E314" s="8"/>
      <c r="F314" s="8"/>
      <c r="G314" s="8"/>
    </row>
    <row r="315" spans="2:7" x14ac:dyDescent="0.2">
      <c r="B315" s="8"/>
      <c r="C315" s="8"/>
      <c r="D315" s="8"/>
      <c r="E315" s="8"/>
      <c r="F315" s="8"/>
      <c r="G315" s="8"/>
    </row>
    <row r="316" spans="2:7" x14ac:dyDescent="0.2">
      <c r="B316" s="8"/>
      <c r="C316" s="8"/>
      <c r="D316" s="8"/>
      <c r="E316" s="8"/>
      <c r="F316" s="8"/>
      <c r="G316" s="8"/>
    </row>
    <row r="317" spans="2:7" x14ac:dyDescent="0.2">
      <c r="B317" s="8"/>
      <c r="C317" s="8"/>
      <c r="D317" s="8"/>
      <c r="E317" s="8"/>
      <c r="F317" s="8"/>
      <c r="G317" s="8"/>
    </row>
    <row r="318" spans="2:7" x14ac:dyDescent="0.2">
      <c r="B318" s="8"/>
      <c r="C318" s="8"/>
      <c r="D318" s="8"/>
      <c r="E318" s="8"/>
      <c r="F318" s="8"/>
      <c r="G318" s="8"/>
    </row>
    <row r="319" spans="2:7" x14ac:dyDescent="0.2">
      <c r="B319" s="8"/>
      <c r="C319" s="8"/>
      <c r="D319" s="8"/>
      <c r="E319" s="8"/>
      <c r="F319" s="8"/>
      <c r="G319" s="8"/>
    </row>
    <row r="320" spans="2:7" x14ac:dyDescent="0.2">
      <c r="B320" s="8"/>
      <c r="C320" s="8"/>
      <c r="D320" s="8"/>
      <c r="E320" s="8"/>
      <c r="F320" s="8"/>
      <c r="G320" s="8"/>
    </row>
    <row r="321" spans="2:7" x14ac:dyDescent="0.2">
      <c r="B321" s="8"/>
      <c r="C321" s="8"/>
      <c r="D321" s="8"/>
      <c r="E321" s="8"/>
      <c r="F321" s="8"/>
      <c r="G321" s="8"/>
    </row>
    <row r="322" spans="2:7" x14ac:dyDescent="0.2">
      <c r="B322" s="8"/>
      <c r="C322" s="8"/>
      <c r="D322" s="8"/>
      <c r="E322" s="8"/>
      <c r="F322" s="8"/>
      <c r="G322" s="8"/>
    </row>
    <row r="323" spans="2:7" x14ac:dyDescent="0.2">
      <c r="B323" s="8"/>
      <c r="C323" s="8"/>
      <c r="D323" s="8"/>
      <c r="E323" s="8"/>
      <c r="F323" s="8"/>
      <c r="G323" s="8"/>
    </row>
    <row r="324" spans="2:7" x14ac:dyDescent="0.2">
      <c r="B324" s="8"/>
      <c r="C324" s="8"/>
      <c r="D324" s="8"/>
      <c r="E324" s="8"/>
      <c r="F324" s="8"/>
      <c r="G324" s="8"/>
    </row>
    <row r="325" spans="2:7" x14ac:dyDescent="0.2">
      <c r="B325" s="8"/>
      <c r="C325" s="8"/>
      <c r="D325" s="8"/>
      <c r="E325" s="8"/>
      <c r="F325" s="8"/>
      <c r="G325" s="8"/>
    </row>
    <row r="326" spans="2:7" x14ac:dyDescent="0.2">
      <c r="B326" s="8"/>
      <c r="C326" s="8"/>
      <c r="D326" s="8"/>
      <c r="E326" s="8"/>
      <c r="F326" s="8"/>
      <c r="G326" s="8"/>
    </row>
  </sheetData>
  <sortState xmlns:xlrd2="http://schemas.microsoft.com/office/spreadsheetml/2017/richdata2" ref="B216:E231">
    <sortCondition ref="E216:E2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Ranking</vt:lpstr>
      <vt:lpstr>Amounts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 Y. Sulit</dc:creator>
  <cp:lastModifiedBy>Fatima  Y. Sulit</cp:lastModifiedBy>
  <dcterms:created xsi:type="dcterms:W3CDTF">2026-03-12T01:39:12Z</dcterms:created>
  <dcterms:modified xsi:type="dcterms:W3CDTF">2026-03-12T03:33:29Z</dcterms:modified>
</cp:coreProperties>
</file>